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DISTRI 26 09\"/>
    </mc:Choice>
  </mc:AlternateContent>
  <xr:revisionPtr revIDLastSave="0" documentId="13_ncr:1_{4C2E2E20-603E-468C-9D67-B9C871BE23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9" i="1" l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<sst xmlns="http://schemas.openxmlformats.org/spreadsheetml/2006/main" count="424" uniqueCount="204">
  <si>
    <t>[ D15316 D15491 3333 3 ]  INTERRUPTOR PRESSAO OLEO MB1113 OM352</t>
  </si>
  <si>
    <t>VDO/CONTINENTAL</t>
  </si>
  <si>
    <t>UN</t>
  </si>
  <si>
    <t>[ ASR203 EFA959 ]  PRE FILTRO AR VOLARE A 5 6 8 MWM SPRINTER</t>
  </si>
  <si>
    <t>TECFIL</t>
  </si>
  <si>
    <t>[ 48853F2 ]  JUNTA DIFERENCIAL MB 1113 1313</t>
  </si>
  <si>
    <t>SABO</t>
  </si>
  <si>
    <t>[ BB144 0X75 ]  BRONZINA BIELA MWM 225/226/229 0X75 ASPIRADO 01CIL</t>
  </si>
  <si>
    <t>METAL LEVE/MAHLE</t>
  </si>
  <si>
    <t>[ BB134025 ]  BRONZINA BIELA OM352 0X25</t>
  </si>
  <si>
    <t>[ BC333STD ]  BRONZINA MANCAL STD OM352A 366</t>
  </si>
  <si>
    <t>[ 6142 1  6060 1 10450 ]  KITS EMBREAGEM VW7100 13130/12140</t>
  </si>
  <si>
    <t>SACHS</t>
  </si>
  <si>
    <t>[ 6236 1 ]  KITS EMBREAGEM MB1313 CHAPEU CHINES 310M</t>
  </si>
  <si>
    <t>[ 9994081232 ]  CANO INJETOR 2 CIL OM 366 MB1218 1318</t>
  </si>
  <si>
    <t>BOSCH</t>
  </si>
  <si>
    <t>[ 9994081004 ]  CANO INJETOR 4 CIL OM352 MB1113 1313</t>
  </si>
  <si>
    <t>[ F00099T231 ]  CANO INJETOR 1 CILINDRO OM LA 366 OF1318</t>
  </si>
  <si>
    <t>[ W11102/4 P172560 PSL ]  FILTRO LUBRIFICANTE VOLVO FH12 NL10 12 ROSCA MENOR</t>
  </si>
  <si>
    <t>MANN</t>
  </si>
  <si>
    <t>[ AP7998 EFA415 ]  FILTRO AR F1000 F4000 CUMMINS F350 VOLKS</t>
  </si>
  <si>
    <t>[ 1932136 0827240 ]  HELICE VENT PLAS VW13180 A 40300 CUMM 8P</t>
  </si>
  <si>
    <t>MODEFER</t>
  </si>
  <si>
    <t>[ 20165E 10062 92532 ]  CABO TOMADA FORCA CACAMBA CAB VERMELHA LISA</t>
  </si>
  <si>
    <t>CABOVEL</t>
  </si>
  <si>
    <t>[ L223 DFW987 ]  LONA FREIO DIANT VW16170 TRAZ 13180CONST</t>
  </si>
  <si>
    <t>LONAFLEX</t>
  </si>
  <si>
    <t>[ C3333 RCCR01232 0986 ]  CILINDRO RODA DIANT TRAS VW 680 690 790S</t>
  </si>
  <si>
    <t>[ 4111540051 884503437 ]  COMPRESSOR AR OM904/906 S/ENGR ELETR MB</t>
  </si>
  <si>
    <t>WABCO</t>
  </si>
  <si>
    <t>[ 2X13X1325 2 9521 GS ]  CORREIA ALT GIR BA 352 362 366 2X13X1325</t>
  </si>
  <si>
    <t>GATES</t>
  </si>
  <si>
    <t>[ 13X1350 9531GS ]  CORREIA ALT MB1218 1620 OM366 13X1350</t>
  </si>
  <si>
    <t>[ L12591 54497 ]  AMORTECEDOR DIANTEIRO CARGO 712 814 815 915 96 EM DIANTE</t>
  </si>
  <si>
    <t>COFAP</t>
  </si>
  <si>
    <t>[ 3004308 ]  CILINDRO MESTRE SIMPLES MB1513 01COPO</t>
  </si>
  <si>
    <t>FLUIDLOC</t>
  </si>
  <si>
    <t>[ PL519 EFL925 ]  FILTRO LUBRIFICANTE OM352 MB1113 1313</t>
  </si>
  <si>
    <t>[ PSC722 HDF494 P4102 ]  FILTRO COMBUSTIVEL VV SC MWM VW FORD CUMM</t>
  </si>
  <si>
    <t>[ K2246 ]  KITS MOTOR 366LA MB1620 OMEGA</t>
  </si>
  <si>
    <t>[ 4988769 ]  BOMBA COMBUSTIVEL CUMMINS SERIE B 5X9 V</t>
  </si>
  <si>
    <t>CUMMINS</t>
  </si>
  <si>
    <t>[ ARS9839 EFA946 ]  FILTRO DE AR VW13170 24320 CARG1617 CUMM</t>
  </si>
  <si>
    <t>[ 13X1475 ]  CORREIA BOMBA D AGUA 352 13X1475</t>
  </si>
  <si>
    <t>DAYCO</t>
  </si>
  <si>
    <t>[ 240017 ]  CALCO CAMBIO VOLKS 13180</t>
  </si>
  <si>
    <t>EATON</t>
  </si>
  <si>
    <t>[ 4988747 ]  BOMBA COMBUSTIV CUMMINS 18310 300/310CV</t>
  </si>
  <si>
    <t>[ WK10002 PSD980 ]  FILTRO SEPARADOR AGUA VW CUMMINS MWM ELE</t>
  </si>
  <si>
    <t>[ K033409 ]  CILINDRO AUXILIAR EMBREAG VW13180 COSTEL</t>
  </si>
  <si>
    <t>KNORR</t>
  </si>
  <si>
    <t>[ PSD960/1 EFS109 META ]  FILTRO SEPARADOR AGUA VW 13170 CUMMINS</t>
  </si>
  <si>
    <t>[ 48809ORSC ]  JG JUNTAS MOTOR OM352 TURBO MB1113 100ML</t>
  </si>
  <si>
    <t>ELRING</t>
  </si>
  <si>
    <t>[ AM322 FM423275X596AS ]  CATRACA FREIO TRAZ VW 13180 28ESTR 1F</t>
  </si>
  <si>
    <t>MASTER</t>
  </si>
  <si>
    <t>[ 904931361131 ]  ANEL CAMISA VITON MWM SERIE 10 SERIE 12</t>
  </si>
  <si>
    <t>MWM</t>
  </si>
  <si>
    <t>[ HU9315X PEL2003 ]  FILTRO LUBRIFICANTE OM904LA MB1215C ELET</t>
  </si>
  <si>
    <t>[ 333240 R48603ORE 488 ]  JUNTA CABECOTE OM352A/366A/366LA 100MM</t>
  </si>
  <si>
    <t>[ S242 6156 TEM ]  PATIM FREIO DIANT TRAS MB608 708</t>
  </si>
  <si>
    <t>MOMAG - NUNE</t>
  </si>
  <si>
    <t>[ 8PK1725 ]  CORREIA ALTERNADOR 8PK1725</t>
  </si>
  <si>
    <t>CONTINENTAL</t>
  </si>
  <si>
    <t>[ PSD964 PS10178 ]  FILTRO SEPARADOR AGUA MWM 6357 F1000 IVECO</t>
  </si>
  <si>
    <t>[ 101298  XC359A758BC ]  CABO ACELERADOR F250 350 4000 CUMMIN 99..</t>
  </si>
  <si>
    <t>[ PSD9202 R12010MBAQII ]  FILTRO SEPARADOR AGUA CONSTEL ACCELO AXOR S COPO</t>
  </si>
  <si>
    <t>RACOR/PARKER</t>
  </si>
  <si>
    <t>[ LXS40/1 AS801 ]  PRE FILTRO SECUNDARIO MB 608 610 708</t>
  </si>
  <si>
    <t>[ 8PK1600 ]  CORREIA ALT BA 1938CARGO CUMMINS 8PK1600</t>
  </si>
  <si>
    <t>[ 4111519212 ]  REPARO COMPRESSOR WABCO ACELO TODOS</t>
  </si>
  <si>
    <t>[ FCD2210 / FS19791 ]  FILTRO COMBUSTIVEL F250 ELETRONICA CUMMI</t>
  </si>
  <si>
    <t>WEGA</t>
  </si>
  <si>
    <t>[ PSC454 ]  FILTRO COMBUSTIVEL FRONTIER / BLAZER</t>
  </si>
  <si>
    <t>[ C1070 RRCM51128 ]  REPARO CILIND MESTRE SIMPLES MB1513 2213</t>
  </si>
  <si>
    <t>CONTROIL</t>
  </si>
  <si>
    <t>[ 13X990 ]  CORREIA AR CONDICIONAD O400 MENOR 13X990</t>
  </si>
  <si>
    <t>[ PC2/255  P9452 ]  FILTRO COMBUSTIVEL D20 92/93 TRATOR</t>
  </si>
  <si>
    <t>[ SYL2269 PD201 ]  PASTILHA FREIO TRAS IVECO DAILY 60C18 70</t>
  </si>
  <si>
    <t>SYL</t>
  </si>
  <si>
    <t>[ C3300 RCCR23228 ]  CILINDRO RODA DIANT MB 1113 1 5X8</t>
  </si>
  <si>
    <t>[ UB380 20153 ]  BOMBA D AGUA MB ACCELO 712C OM904/906/924 ELETRONICO</t>
  </si>
  <si>
    <t>URBA</t>
  </si>
  <si>
    <t>[ 0986AB8421 C3313 CR9 ]  CILINDRO RODA TRAZ ESQ F4000 75 84 11X4</t>
  </si>
  <si>
    <t>[ 3938156 3916131 6048 ]  JUNTA CARCACA ENGRENAGEM CUMMINS SERIE B VW</t>
  </si>
  <si>
    <t>[ 8PK2200 ]  CORREIA ALT GIR F350 CUMINS C AR 8PK2200</t>
  </si>
  <si>
    <t>[ 260800 ]  BOMBA COMBUSTIVEL D10 D20 PERKINS</t>
  </si>
  <si>
    <t>BROSOL</t>
  </si>
  <si>
    <t>[ 6333060000 6585 ]  KIT EMBREAGEM CARGO712 915 VW ELET F4000 CUMMINS</t>
  </si>
  <si>
    <t>LUK</t>
  </si>
  <si>
    <t>[ WK1060 PSD420 ]  FILTRO RACOR MB1214 1214C 1216 COPO</t>
  </si>
  <si>
    <t>[ 2X13X1020 D ]  CORREIA BBA ALT VIR 1620 2X13X1020 DUPLA</t>
  </si>
  <si>
    <t>[ KC133 PSC172 ]  FILTRO COMBUSTIVEL CUMMINS NT855 TEREX</t>
  </si>
  <si>
    <t>[ MM101400E MM100007E  ]  BOMBA COMBUSTIVEL CUMMINS SERIE B 5X9 V</t>
  </si>
  <si>
    <t>MASTER PARTS</t>
  </si>
  <si>
    <t>[ 48816EF1 48816CL ]  JUNTA CARTER MOTOR MB 352 366 CORTICA</t>
  </si>
  <si>
    <t>[ 203111 MG289 NKF3017 ]  PATIM C LONA F250 F350 99 JG</t>
  </si>
  <si>
    <t>[ PU1059X PEC3014 ]  FILTRO COMBUST MAN TGX9440 33440 CONSTEL</t>
  </si>
  <si>
    <t>[ 530080801 9024022027 ]  MOLA CABECOTE PEQUEN INTERNA MWM D229 226 X10</t>
  </si>
  <si>
    <t>RIOSULENSE</t>
  </si>
  <si>
    <t>[ H10343 PL265 ]  FILTRO LUBRIFICANTE MOTOR PERKINS 6357 6354</t>
  </si>
  <si>
    <t>[ JTSB0029 ]  BIELETA BARRA ESTAB DIANT ESQ HILUX 2005 EM DIANTE</t>
  </si>
  <si>
    <t>VARGAS/TRW</t>
  </si>
  <si>
    <t>[ 8PK1620 ]  CORREIA ALT VW MB CUMMIN CUSTEL 8PK1620</t>
  </si>
  <si>
    <t>[ 5200018 D701048 ]  CILINDRO EMBREAGEM MESTRE/AUX F250 F350 F4000 KIT</t>
  </si>
  <si>
    <t>FTE</t>
  </si>
  <si>
    <t>[ 8PK1500 ]  CORREIA ALTERN CARGO CUMMINS SC 8PK1500</t>
  </si>
  <si>
    <t>[ ATW5197 N5197 CM2862 ]  BARRA DIRECAO LATERAL MB1721 1418 1243MM</t>
  </si>
  <si>
    <t>ATTOW</t>
  </si>
  <si>
    <t>[ 20257 452016 ]  BOMBA DAGUA CUMMINS ISF 3.8 VW 10160 13160</t>
  </si>
  <si>
    <t>INDISA</t>
  </si>
  <si>
    <t>[ PA020 2R0609245 FM18 ]  PATIM FREIO DIANT TRAS VOLKS 8150 9150 L559</t>
  </si>
  <si>
    <t>[ PEC7177 FCD0962 RE12 ]  FILTRO COMBUSTIVEL VOLKS DELIVERY CUMMINS ISF</t>
  </si>
  <si>
    <t>[  34545 104890//BC457 ]  CABO COMANDO CAMBIO FORD CARGO 1722 4X2 2422 6X2 / 2428 6X2 / 2011...</t>
  </si>
  <si>
    <t>FANIA</t>
  </si>
  <si>
    <t>[ 5415536 50717 ]  BUCHA BARRA ESTABILIZADORA DIANT HILUX SW4 05/15 30MM</t>
  </si>
  <si>
    <t>KITCIA</t>
  </si>
  <si>
    <t>[ 8PK1290 ]  CORREIA V GIR ALT VW7100 MWM X10 8PK1290</t>
  </si>
  <si>
    <t>[ 0986450729 PSD9701 ]  FILTRO SEPAR AGUA VW13170 17220CU 7100MW</t>
  </si>
  <si>
    <t>[ 1932624 157020005344 ]  EMBREAGEM VISCOSA VW 17180 24280 26280 MAN</t>
  </si>
  <si>
    <t>[ ARS5673 WAP102 0986B ]  FILTRO AR FORD CARGO 1217/1517 CUMMINS C</t>
  </si>
  <si>
    <t>[ 2X13X1500 ]  CORREIA ALT VIR BBA DUPLA 2X13X1500</t>
  </si>
  <si>
    <t>[ C50004 / A0040948404 ]  FILTRO AR MB ACTROS OM460LA OM471LA</t>
  </si>
  <si>
    <t>[ 000178 6121160 2PO12 ]  RESERVATORIO AGUA RADIADOR 1 RETORNO VW 9160 10160</t>
  </si>
  <si>
    <t>RESEPLASTIC</t>
  </si>
  <si>
    <t>[ 2643331 ]  COLA SILICONE 598 ULTRA BLACK 85G LOCTITE</t>
  </si>
  <si>
    <t>LOCTITE</t>
  </si>
  <si>
    <t>[ PSC706 FCD4000 ]  FILTRO COMBUSTIVEL VOLKS 10160 2012..</t>
  </si>
  <si>
    <t>[ WO610 PSL339 OC35 ]  FILTRO LUBRIFICANTE MWM D229/6 VW VOLARE</t>
  </si>
  <si>
    <t>[ ARS3003 LX1314 ]  FILTRO DE AR MICRO VOLARE VOLKS MWM</t>
  </si>
  <si>
    <t>[ 2X13X1400 ]  CORREIA ALT DUPLA 2X13X1400</t>
  </si>
  <si>
    <t>[ 42503 AA314  8163279 ]  CATRACA FREIO AUTOMATICA TRAS LE 28E CARGO VOLKS VOLVO</t>
  </si>
  <si>
    <t>[ 8PK2590 ]  CORREIA VIR ALT SCANIA 8PK2585</t>
  </si>
  <si>
    <t>CONTITECH</t>
  </si>
  <si>
    <t>[ 5110326100 29200 816 ]  CILINDRO MESTRE EMBREAGEM MB OF1417 OF1722 1618 O500</t>
  </si>
  <si>
    <t>[ 632651KX LV1064 HLV6 ]  LUVA CARDAN FORD CARGO MB VOLKS</t>
  </si>
  <si>
    <t>SPICER</t>
  </si>
  <si>
    <t>[ 107 LUSAR 1725149 S2 ]  PATIM FREIO TRAZ F1000 TODAS LONA 2080T</t>
  </si>
  <si>
    <t>LUSAR</t>
  </si>
  <si>
    <t>[ RES2003W 23H127177 ]  FILTRO COMBUSTIVEL VW CONSTELLATION MOTOR MAN D0834 D0836</t>
  </si>
  <si>
    <t>PARKER</t>
  </si>
  <si>
    <t>[ FCD2041 PSC410 09864 ]  FILTRO COMBUSTIVEL VOLKS 13170</t>
  </si>
  <si>
    <t>[ 8PK2805 ]  CORREIA ALTERNADOR 8PK2805</t>
  </si>
  <si>
    <t>Marca (Se for Marca Específica)</t>
  </si>
  <si>
    <t>QTD</t>
  </si>
  <si>
    <t>[ 01840BGO ]  RETENTOR CAMBIO FLANGE TRAZ MB608 708</t>
  </si>
  <si>
    <t>[ 02483BGE ]  RETENTOR RODA DIANT VOLKS 13130 14130</t>
  </si>
  <si>
    <t>[ 00849BA ]  RETENTOR RODA DIANT F100 F1000 F2000 F40</t>
  </si>
  <si>
    <t>[ 7021BRG 3344862 ]  RETENTOR MORINGA CAMBIO F4000VW7100/8150</t>
  </si>
  <si>
    <t>[ 00181BE SABO ]  RETENTOR RODA DIANTEIRA F350</t>
  </si>
  <si>
    <t>[ 00098B ]  RETENTOR RODA DIANT VOLARE W9</t>
  </si>
  <si>
    <t>[ 07612BA  ]  RETENTOR MORINGA CAMBIO S5 680 ZF MB1620</t>
  </si>
  <si>
    <t>[ 07735BRAYF  ]  RETENTOR CUBO RODA TRAS VOLKS 5140 DELIVERY</t>
  </si>
  <si>
    <t>[ 09286NOF 600463F //  ]  RETENTOR VALVULA CUMMINS SERIE B 4C</t>
  </si>
  <si>
    <t>[ 08475BRAGF 023997784 ]  RETENTOR PILOTO MB1938 ACTROS AXOR G210 G240 G280</t>
  </si>
  <si>
    <t>[ 206N 0047B=SABO ARCA ]  RETENTOR PINHAO MB608 708 709 912</t>
  </si>
  <si>
    <t>CORTECO</t>
  </si>
  <si>
    <t>[ NU2207N ]  ROLAMENTO PINHAO MB1111</t>
  </si>
  <si>
    <t>GIR</t>
  </si>
  <si>
    <t>[ 200216 VKC2044 ]  ROLAMENTO EMBREAGEM MB608 1113 1313 2013</t>
  </si>
  <si>
    <t>SKF</t>
  </si>
  <si>
    <t>[ 802629 804358 ]  ROLAMENTO RODA CARRETA MODERNA</t>
  </si>
  <si>
    <t>MERITOR</t>
  </si>
  <si>
    <t>[ HM212049/011 802737 ]  ROLAMENTO RODA DIAN INT CARGO VW13130</t>
  </si>
  <si>
    <t>[ 2689/2631 802720 ]  ROLAMENTO EIXO FIXO CX CL450 4005</t>
  </si>
  <si>
    <t>[ 509333 / 7220885100 ]  ROLAMENTO DIFERENCIAL REDUZ HL5Z 1518 19</t>
  </si>
  <si>
    <t>INA</t>
  </si>
  <si>
    <t>[ 25581/25520 802722 ]  ROLAMENTO CAMBIO ENTALHADO FORD GMC VW</t>
  </si>
  <si>
    <t>[ K2780/2720  802743 ]  ROLAMENTO RODA DIANT EXT CARGO VOLARE W9</t>
  </si>
  <si>
    <t>[ 3780/3720 802769 ]  ROLAMENTO RODA DIANT VOLARE W9 AGRALE</t>
  </si>
  <si>
    <t>[ 32216 ]  ROLAMENTO RODA CARRETA TRACAO MB1113 INT</t>
  </si>
  <si>
    <t>FAG</t>
  </si>
  <si>
    <t>[ 32218 ]  ROLAMENTO RODA CARRETA</t>
  </si>
  <si>
    <t>[ 802754 33114 524379 ]  ROLAMENTO RODA TRACAO MB1313 FR OLEO EXT</t>
  </si>
  <si>
    <t>[ 5001360100 R10G508 V ]  ROLAMENTO EMBREAGEM ACD10 D20 D40 S10</t>
  </si>
  <si>
    <t>[ MMVT23683K ]  VALVULA TERMOSTATICA 83 MB1113 OM352</t>
  </si>
  <si>
    <t>MAGNETTI MARELLI</t>
  </si>
  <si>
    <t>[ 7600077RTH ]  VALVULA SOLENOIDE VOLKS 12V</t>
  </si>
  <si>
    <t>[ HF4000N/3673 ]  TAMBOR FREIO TRAZ F4000 8 FUROS 2002 DIA</t>
  </si>
  <si>
    <t>HIPERFREIOS</t>
  </si>
  <si>
    <t>[ TVM6607MLEVE ]  TUCHO VALVULA MWM X10 TODOS</t>
  </si>
  <si>
    <t>[ 922903210035 ]  VARETA VALVULA ESCAPE ADMISSAO MWM D229</t>
  </si>
  <si>
    <t>[ 360004002R ]  SENSOR PRESSAO OLEO OM366 14MM</t>
  </si>
  <si>
    <t>VDO</t>
  </si>
  <si>
    <t>[ 397207 41084382 2S01 ]  VALVULA TERMOSTATICA CUMMINS B VW CARGO</t>
  </si>
  <si>
    <t>WAHLER</t>
  </si>
  <si>
    <t>[ 387A382A ]  ROLAMENTO RODA TRAS F4000 350 250 GM INT</t>
  </si>
  <si>
    <t>[ MMVT23671K ]  VALVULA TERMOSTATICA 71 MB1113 OM352 355</t>
  </si>
  <si>
    <t>[ 9730110070 43886 431 ]  VALVULA RELE 16X22MM MB SC VV IVECO CARRET WAB SAIDA1,2=22 4=16M</t>
  </si>
  <si>
    <t>[ 160730 KPW730 // 2RD ]  TERMINAL CAMBIO ROSCA ESQ VW 7100 8140</t>
  </si>
  <si>
    <t>DRIVEWAY</t>
  </si>
  <si>
    <t>[ 0281006325 BG8X9F479 ]  SENSOR PRESSAO COMBUSTIVEL CONSTELLATION 25320E 24250</t>
  </si>
  <si>
    <t>[ VC0481565 4403738 ]  VALVULA TOP BRAK MB1620 ELETRONICO OM449/447</t>
  </si>
  <si>
    <t>[ BRD03000 VKY6212 N51 ]  TIRANTE BARRA ESTABILI MB 1420 1620 1621</t>
  </si>
  <si>
    <t>PERFECT</t>
  </si>
  <si>
    <t>[ 23B130758B // 524312 ]  SENSOR PRESSAO GASES ESCAPE NOVO DELIVERY EURO VI</t>
  </si>
  <si>
    <t>MDZ</t>
  </si>
  <si>
    <t>Descrição   NUNEDIESEL</t>
  </si>
  <si>
    <t>monroe</t>
  </si>
  <si>
    <t>dayco</t>
  </si>
  <si>
    <t>schadek</t>
  </si>
  <si>
    <t>PREÇO</t>
  </si>
  <si>
    <t>codigo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</si>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</sst>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1" fillId="0" borderId="0" xfId="0" applyFont="1"/>
    <xf numFmtId="164" fontId="3" fillId="0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1" applyFont="1"/>
    <xf numFmtId="4" fontId="0" fillId="0" borderId="0" xfId="0" applyNumberFormat="1"/>
    <xf numFmtId="4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L3" sqref="L3"/>
    </sheetView>
  </sheetViews>
  <sheetFormatPr defaultRowHeight="14.4" x14ac:dyDescent="0.3"/>
  <cols>
    <col min="1" max="1" width="8.6640625" customWidth="1"/>
    <col min="2" max="2" width="69.77734375" customWidth="1"/>
    <col min="3" max="3" width="20.33203125" customWidth="1"/>
    <col min="4" max="4" width="3.77734375" bestFit="1" customWidth="1"/>
    <col min="5" max="5" width="4.77734375" bestFit="1" customWidth="1"/>
    <col min="7" max="7" width="10" customWidth="1"/>
    <col min="8" max="8" width="10.21875" hidden="1" customWidth="1"/>
    <col min="9" max="10" width="0" hidden="1" customWidth="1"/>
  </cols>
  <sheetData>
    <row r="1" spans="1:11" s="4" customFormat="1" x14ac:dyDescent="0.3">
      <c r="A1" s="3" t="s">
        <v>202</v>
      </c>
      <c r="B1" s="3" t="s">
        <v>197</v>
      </c>
      <c r="C1" s="3" t="s">
        <v>143</v>
      </c>
      <c r="D1" s="3" t="s">
        <v>2</v>
      </c>
      <c r="E1" s="3" t="s">
        <v>144</v>
      </c>
      <c r="F1" s="3" t="s">
        <v>201</v>
      </c>
      <c r="G1" s="3" t="s">
        <v>203</v>
      </c>
    </row>
    <row r="2" spans="1:11" x14ac:dyDescent="0.3">
      <c r="A2" s="1">
        <v>21</v>
      </c>
      <c r="B2" s="2" t="s">
        <v>0</v>
      </c>
      <c r="C2" s="2" t="s">
        <v>1</v>
      </c>
      <c r="D2" s="2" t="s">
        <v>2</v>
      </c>
      <c r="E2" s="1">
        <v>3</v>
      </c>
      <c r="F2" s="1"/>
      <c r="G2" s="1"/>
      <c r="H2" s="5"/>
      <c r="I2" s="6">
        <v>0.107</v>
      </c>
      <c r="J2" s="7">
        <f t="shared" ref="J2" si="0">(H2*I2)-H2</f>
        <v>0</v>
      </c>
    </row>
    <row r="3" spans="1:11" x14ac:dyDescent="0.3">
      <c r="A3" s="1">
        <v>54</v>
      </c>
      <c r="B3" s="2" t="s">
        <v>3</v>
      </c>
      <c r="C3" s="2" t="s">
        <v>4</v>
      </c>
      <c r="D3" s="2" t="s">
        <v>2</v>
      </c>
      <c r="E3" s="1">
        <v>1</v>
      </c>
      <c r="F3" s="1"/>
      <c r="G3" s="1"/>
      <c r="H3" s="5"/>
      <c r="I3" s="6">
        <v>0.107</v>
      </c>
      <c r="J3" s="7">
        <f t="shared" ref="J3:J66" si="1">(H3*I3)-H3</f>
        <v>0</v>
      </c>
    </row>
    <row r="4" spans="1:11" x14ac:dyDescent="0.3">
      <c r="A4" s="1">
        <v>690</v>
      </c>
      <c r="B4" s="2" t="s">
        <v>5</v>
      </c>
      <c r="C4" s="2" t="s">
        <v>6</v>
      </c>
      <c r="D4" s="2" t="s">
        <v>2</v>
      </c>
      <c r="E4" s="1">
        <v>6</v>
      </c>
      <c r="F4" s="1"/>
      <c r="G4" s="1"/>
      <c r="H4" s="5"/>
      <c r="I4" s="6">
        <v>0.107</v>
      </c>
      <c r="J4" s="7">
        <f t="shared" si="1"/>
        <v>0</v>
      </c>
    </row>
    <row r="5" spans="1:11" x14ac:dyDescent="0.3">
      <c r="A5" s="1">
        <v>772</v>
      </c>
      <c r="B5" s="2" t="s">
        <v>7</v>
      </c>
      <c r="C5" s="2" t="s">
        <v>8</v>
      </c>
      <c r="D5" s="2" t="s">
        <v>2</v>
      </c>
      <c r="E5" s="1">
        <v>6</v>
      </c>
      <c r="F5" s="1">
        <v>40.770000000000003</v>
      </c>
      <c r="G5" s="1"/>
      <c r="H5" s="5">
        <v>45.65</v>
      </c>
      <c r="I5" s="6">
        <v>0.107</v>
      </c>
      <c r="J5" s="7">
        <f t="shared" si="1"/>
        <v>-40.765450000000001</v>
      </c>
    </row>
    <row r="6" spans="1:11" x14ac:dyDescent="0.3">
      <c r="A6" s="1">
        <v>1760</v>
      </c>
      <c r="B6" s="2" t="s">
        <v>9</v>
      </c>
      <c r="C6" s="2" t="s">
        <v>8</v>
      </c>
      <c r="D6" s="2" t="s">
        <v>2</v>
      </c>
      <c r="E6" s="1">
        <v>1</v>
      </c>
      <c r="F6" s="1">
        <v>307.87</v>
      </c>
      <c r="G6" s="1"/>
      <c r="H6" s="5">
        <v>344.76</v>
      </c>
      <c r="I6" s="6">
        <v>0.107</v>
      </c>
      <c r="J6" s="7">
        <f t="shared" si="1"/>
        <v>-307.87067999999999</v>
      </c>
    </row>
    <row r="7" spans="1:11" x14ac:dyDescent="0.3">
      <c r="A7" s="1">
        <v>1766</v>
      </c>
      <c r="B7" s="2" t="s">
        <v>145</v>
      </c>
      <c r="C7" s="2" t="s">
        <v>6</v>
      </c>
      <c r="D7" s="2" t="s">
        <v>2</v>
      </c>
      <c r="E7" s="1">
        <v>3</v>
      </c>
      <c r="F7" s="1"/>
      <c r="G7" s="1"/>
      <c r="H7" s="5"/>
      <c r="I7" s="6">
        <v>0.107</v>
      </c>
      <c r="J7" s="7">
        <f t="shared" si="1"/>
        <v>0</v>
      </c>
    </row>
    <row r="8" spans="1:11" x14ac:dyDescent="0.3">
      <c r="A8" s="1">
        <v>1846</v>
      </c>
      <c r="B8" s="2" t="s">
        <v>175</v>
      </c>
      <c r="C8" s="2" t="s">
        <v>176</v>
      </c>
      <c r="D8" s="2" t="s">
        <v>2</v>
      </c>
      <c r="E8" s="1">
        <v>2</v>
      </c>
      <c r="F8" s="1"/>
      <c r="G8" s="1"/>
      <c r="H8" s="5"/>
      <c r="I8" s="6">
        <v>0.107</v>
      </c>
      <c r="J8" s="7">
        <f t="shared" si="1"/>
        <v>0</v>
      </c>
    </row>
    <row r="9" spans="1:11" x14ac:dyDescent="0.3">
      <c r="A9" s="1">
        <v>1899</v>
      </c>
      <c r="B9" s="2" t="s">
        <v>10</v>
      </c>
      <c r="C9" s="2" t="s">
        <v>8</v>
      </c>
      <c r="D9" s="2" t="s">
        <v>2</v>
      </c>
      <c r="E9" s="1">
        <v>1</v>
      </c>
      <c r="F9" s="1">
        <v>353.79</v>
      </c>
      <c r="G9" s="1"/>
      <c r="H9" s="5">
        <v>396.18</v>
      </c>
      <c r="I9" s="6">
        <v>0.107</v>
      </c>
      <c r="J9" s="7">
        <f t="shared" si="1"/>
        <v>-353.78874000000002</v>
      </c>
    </row>
    <row r="10" spans="1:11" x14ac:dyDescent="0.3">
      <c r="A10" s="1">
        <v>2347</v>
      </c>
      <c r="B10" s="2" t="s">
        <v>11</v>
      </c>
      <c r="C10" s="2" t="s">
        <v>12</v>
      </c>
      <c r="D10" s="2" t="s">
        <v>2</v>
      </c>
      <c r="E10" s="1">
        <v>1</v>
      </c>
      <c r="F10" s="1">
        <v>907.97</v>
      </c>
      <c r="G10" s="1"/>
      <c r="H10" s="5">
        <v>1016.76</v>
      </c>
      <c r="I10" s="6">
        <v>0.107</v>
      </c>
      <c r="J10" s="7">
        <f t="shared" si="1"/>
        <v>-907.96668</v>
      </c>
    </row>
    <row r="11" spans="1:11" x14ac:dyDescent="0.3">
      <c r="A11" s="1">
        <v>2624</v>
      </c>
      <c r="B11" s="2" t="s">
        <v>13</v>
      </c>
      <c r="C11" s="2" t="s">
        <v>12</v>
      </c>
      <c r="D11" s="2" t="s">
        <v>2</v>
      </c>
      <c r="E11" s="1">
        <v>2</v>
      </c>
      <c r="F11" s="9">
        <v>1051.44</v>
      </c>
      <c r="G11" s="1"/>
      <c r="H11" s="5">
        <v>1177.42</v>
      </c>
      <c r="I11" s="6">
        <v>0.107</v>
      </c>
      <c r="J11" s="7">
        <f t="shared" si="1"/>
        <v>-1051.43606</v>
      </c>
      <c r="K11" s="8"/>
    </row>
    <row r="12" spans="1:11" x14ac:dyDescent="0.3">
      <c r="A12" s="1">
        <v>2984</v>
      </c>
      <c r="B12" s="2" t="s">
        <v>14</v>
      </c>
      <c r="C12" s="2" t="s">
        <v>15</v>
      </c>
      <c r="D12" s="2" t="s">
        <v>2</v>
      </c>
      <c r="E12" s="1">
        <v>1</v>
      </c>
      <c r="F12" s="1"/>
      <c r="G12" s="1"/>
      <c r="H12" s="5"/>
      <c r="I12" s="6">
        <v>0.107</v>
      </c>
      <c r="J12" s="7">
        <f t="shared" si="1"/>
        <v>0</v>
      </c>
    </row>
    <row r="13" spans="1:11" x14ac:dyDescent="0.3">
      <c r="A13" s="1">
        <v>3083</v>
      </c>
      <c r="B13" s="2" t="s">
        <v>16</v>
      </c>
      <c r="C13" s="2" t="s">
        <v>15</v>
      </c>
      <c r="D13" s="2" t="s">
        <v>2</v>
      </c>
      <c r="E13" s="1">
        <v>2</v>
      </c>
      <c r="F13" s="1"/>
      <c r="G13" s="1"/>
      <c r="H13" s="5"/>
      <c r="I13" s="6">
        <v>0.107</v>
      </c>
      <c r="J13" s="7">
        <f t="shared" si="1"/>
        <v>0</v>
      </c>
    </row>
    <row r="14" spans="1:11" x14ac:dyDescent="0.3">
      <c r="A14" s="1">
        <v>3188</v>
      </c>
      <c r="B14" s="2" t="s">
        <v>17</v>
      </c>
      <c r="C14" s="2" t="s">
        <v>15</v>
      </c>
      <c r="D14" s="2" t="s">
        <v>2</v>
      </c>
      <c r="E14" s="1">
        <v>1</v>
      </c>
      <c r="F14" s="1"/>
      <c r="G14" s="1"/>
      <c r="H14" s="5"/>
      <c r="I14" s="6">
        <v>0.107</v>
      </c>
      <c r="J14" s="7">
        <f t="shared" si="1"/>
        <v>0</v>
      </c>
    </row>
    <row r="15" spans="1:11" x14ac:dyDescent="0.3">
      <c r="A15" s="1">
        <v>3299</v>
      </c>
      <c r="B15" s="2" t="s">
        <v>18</v>
      </c>
      <c r="C15" s="2" t="s">
        <v>19</v>
      </c>
      <c r="D15" s="2" t="s">
        <v>2</v>
      </c>
      <c r="E15" s="1">
        <v>2</v>
      </c>
      <c r="F15" s="1">
        <v>42.34</v>
      </c>
      <c r="G15" s="1"/>
      <c r="H15" s="5">
        <v>47.41</v>
      </c>
      <c r="I15" s="6">
        <v>0.107</v>
      </c>
      <c r="J15" s="7">
        <f t="shared" si="1"/>
        <v>-42.337129999999995</v>
      </c>
    </row>
    <row r="16" spans="1:11" x14ac:dyDescent="0.3">
      <c r="A16" s="1">
        <v>3379</v>
      </c>
      <c r="B16" s="2" t="s">
        <v>146</v>
      </c>
      <c r="C16" s="2" t="s">
        <v>6</v>
      </c>
      <c r="D16" s="2" t="s">
        <v>2</v>
      </c>
      <c r="E16" s="1">
        <v>5</v>
      </c>
      <c r="F16" s="1"/>
      <c r="G16" s="1"/>
      <c r="H16" s="5"/>
      <c r="I16" s="6">
        <v>0.107</v>
      </c>
      <c r="J16" s="7">
        <f t="shared" si="1"/>
        <v>0</v>
      </c>
    </row>
    <row r="17" spans="1:11" x14ac:dyDescent="0.3">
      <c r="A17" s="1">
        <v>3382</v>
      </c>
      <c r="B17" s="2" t="s">
        <v>177</v>
      </c>
      <c r="C17" s="2" t="s">
        <v>67</v>
      </c>
      <c r="D17" s="2" t="s">
        <v>2</v>
      </c>
      <c r="E17" s="1">
        <v>1</v>
      </c>
      <c r="F17" s="1"/>
      <c r="G17" s="1"/>
      <c r="H17" s="5"/>
      <c r="I17" s="6">
        <v>0.107</v>
      </c>
      <c r="J17" s="7">
        <f t="shared" si="1"/>
        <v>0</v>
      </c>
    </row>
    <row r="18" spans="1:11" x14ac:dyDescent="0.3">
      <c r="A18" s="1">
        <v>3862</v>
      </c>
      <c r="B18" s="2" t="s">
        <v>20</v>
      </c>
      <c r="C18" s="2" t="s">
        <v>4</v>
      </c>
      <c r="D18" s="2" t="s">
        <v>2</v>
      </c>
      <c r="E18" s="1">
        <v>20</v>
      </c>
      <c r="F18" s="1">
        <v>44.84</v>
      </c>
      <c r="G18" s="1"/>
      <c r="H18" s="5">
        <v>50.21</v>
      </c>
      <c r="I18" s="6">
        <v>0.107</v>
      </c>
      <c r="J18" s="7">
        <f t="shared" si="1"/>
        <v>-44.837530000000001</v>
      </c>
    </row>
    <row r="19" spans="1:11" x14ac:dyDescent="0.3">
      <c r="A19" s="1">
        <v>4113</v>
      </c>
      <c r="B19" s="2" t="s">
        <v>157</v>
      </c>
      <c r="C19" s="2" t="s">
        <v>158</v>
      </c>
      <c r="D19" s="2" t="s">
        <v>2</v>
      </c>
      <c r="E19" s="1">
        <v>1</v>
      </c>
      <c r="F19" s="1"/>
      <c r="G19" s="1"/>
      <c r="H19" s="5"/>
      <c r="I19" s="6">
        <v>0.107</v>
      </c>
      <c r="J19" s="7">
        <f t="shared" si="1"/>
        <v>0</v>
      </c>
    </row>
    <row r="20" spans="1:11" x14ac:dyDescent="0.3">
      <c r="A20" s="1">
        <v>4478</v>
      </c>
      <c r="B20" s="2" t="s">
        <v>147</v>
      </c>
      <c r="C20" s="2" t="s">
        <v>6</v>
      </c>
      <c r="D20" s="2" t="s">
        <v>2</v>
      </c>
      <c r="E20" s="1">
        <v>5</v>
      </c>
      <c r="F20" s="1"/>
      <c r="G20" s="1"/>
      <c r="H20" s="5"/>
      <c r="I20" s="6">
        <v>0.107</v>
      </c>
      <c r="J20" s="7">
        <f t="shared" si="1"/>
        <v>0</v>
      </c>
    </row>
    <row r="21" spans="1:11" x14ac:dyDescent="0.3">
      <c r="A21" s="1">
        <v>5151</v>
      </c>
      <c r="B21" s="2" t="s">
        <v>21</v>
      </c>
      <c r="C21" s="2" t="s">
        <v>22</v>
      </c>
      <c r="D21" s="2" t="s">
        <v>2</v>
      </c>
      <c r="E21" s="1">
        <v>1</v>
      </c>
      <c r="F21" s="1">
        <v>414.58</v>
      </c>
      <c r="G21" s="1"/>
      <c r="H21" s="5">
        <v>464.25799999999998</v>
      </c>
      <c r="I21" s="6">
        <v>0.107</v>
      </c>
      <c r="J21" s="7">
        <f t="shared" si="1"/>
        <v>-414.58239399999997</v>
      </c>
    </row>
    <row r="22" spans="1:11" x14ac:dyDescent="0.3">
      <c r="A22" s="1">
        <v>5871</v>
      </c>
      <c r="B22" s="2" t="s">
        <v>23</v>
      </c>
      <c r="C22" s="2" t="s">
        <v>24</v>
      </c>
      <c r="D22" s="2" t="s">
        <v>2</v>
      </c>
      <c r="E22" s="1">
        <v>4</v>
      </c>
      <c r="F22" s="1"/>
      <c r="G22" s="1"/>
      <c r="H22" s="5"/>
      <c r="I22" s="6">
        <v>0.107</v>
      </c>
      <c r="J22" s="7">
        <f t="shared" si="1"/>
        <v>0</v>
      </c>
    </row>
    <row r="23" spans="1:11" x14ac:dyDescent="0.3">
      <c r="A23" s="1">
        <v>6141</v>
      </c>
      <c r="B23" s="2" t="s">
        <v>178</v>
      </c>
      <c r="C23" s="2" t="s">
        <v>179</v>
      </c>
      <c r="D23" s="2" t="s">
        <v>2</v>
      </c>
      <c r="E23" s="1">
        <v>2</v>
      </c>
      <c r="F23" s="1">
        <v>421.25</v>
      </c>
      <c r="G23" s="1"/>
      <c r="H23" s="5">
        <v>471.73</v>
      </c>
      <c r="I23" s="6">
        <v>0.107</v>
      </c>
      <c r="J23" s="7">
        <f t="shared" si="1"/>
        <v>-421.25489000000005</v>
      </c>
    </row>
    <row r="24" spans="1:11" x14ac:dyDescent="0.3">
      <c r="A24" s="1">
        <v>7502</v>
      </c>
      <c r="B24" s="2" t="s">
        <v>25</v>
      </c>
      <c r="C24" s="2" t="s">
        <v>26</v>
      </c>
      <c r="D24" s="2" t="s">
        <v>2</v>
      </c>
      <c r="E24" s="1">
        <v>2</v>
      </c>
      <c r="F24" s="1">
        <v>148.87</v>
      </c>
      <c r="G24" s="1"/>
      <c r="H24" s="5">
        <v>166.71</v>
      </c>
      <c r="I24" s="6">
        <v>0.107</v>
      </c>
      <c r="J24" s="7">
        <f t="shared" si="1"/>
        <v>-148.87203</v>
      </c>
    </row>
    <row r="25" spans="1:11" x14ac:dyDescent="0.3">
      <c r="A25" s="1">
        <v>8043</v>
      </c>
      <c r="B25" s="2" t="s">
        <v>148</v>
      </c>
      <c r="C25" s="2" t="s">
        <v>6</v>
      </c>
      <c r="D25" s="2" t="s">
        <v>2</v>
      </c>
      <c r="E25" s="1">
        <v>6</v>
      </c>
      <c r="F25" s="1"/>
      <c r="G25" s="1"/>
      <c r="H25" s="5"/>
      <c r="I25" s="6">
        <v>0.107</v>
      </c>
      <c r="J25" s="7">
        <f t="shared" si="1"/>
        <v>0</v>
      </c>
    </row>
    <row r="26" spans="1:11" x14ac:dyDescent="0.3">
      <c r="A26" s="1">
        <v>8406</v>
      </c>
      <c r="B26" s="2" t="s">
        <v>27</v>
      </c>
      <c r="C26" s="2" t="s">
        <v>15</v>
      </c>
      <c r="D26" s="2" t="s">
        <v>2</v>
      </c>
      <c r="E26" s="1">
        <v>2</v>
      </c>
      <c r="F26" s="1"/>
      <c r="G26" s="1"/>
      <c r="H26" s="5"/>
      <c r="I26" s="6">
        <v>0.107</v>
      </c>
      <c r="J26" s="7">
        <f t="shared" si="1"/>
        <v>0</v>
      </c>
    </row>
    <row r="27" spans="1:11" x14ac:dyDescent="0.3">
      <c r="A27" s="1">
        <v>8948</v>
      </c>
      <c r="B27" s="2" t="s">
        <v>28</v>
      </c>
      <c r="C27" s="2" t="s">
        <v>29</v>
      </c>
      <c r="D27" s="2" t="s">
        <v>2</v>
      </c>
      <c r="E27" s="1">
        <v>2</v>
      </c>
      <c r="F27" s="9">
        <v>1519.72</v>
      </c>
      <c r="G27" s="1"/>
      <c r="H27" s="5">
        <v>1701.81</v>
      </c>
      <c r="I27" s="6">
        <v>0.107</v>
      </c>
      <c r="J27" s="7">
        <f t="shared" si="1"/>
        <v>-1519.71633</v>
      </c>
      <c r="K27" s="8"/>
    </row>
    <row r="28" spans="1:11" x14ac:dyDescent="0.3">
      <c r="A28" s="1">
        <v>9820</v>
      </c>
      <c r="B28" s="2" t="s">
        <v>180</v>
      </c>
      <c r="C28" s="2" t="s">
        <v>8</v>
      </c>
      <c r="D28" s="2" t="s">
        <v>2</v>
      </c>
      <c r="E28" s="1">
        <v>6</v>
      </c>
      <c r="F28" s="1"/>
      <c r="G28" s="1"/>
      <c r="H28" s="5"/>
      <c r="I28" s="6">
        <v>0.107</v>
      </c>
      <c r="J28" s="7">
        <f t="shared" si="1"/>
        <v>0</v>
      </c>
    </row>
    <row r="29" spans="1:11" x14ac:dyDescent="0.3">
      <c r="A29" s="1">
        <v>10128</v>
      </c>
      <c r="B29" s="2" t="s">
        <v>149</v>
      </c>
      <c r="C29" s="2" t="s">
        <v>6</v>
      </c>
      <c r="D29" s="2" t="s">
        <v>2</v>
      </c>
      <c r="E29" s="1">
        <v>1</v>
      </c>
      <c r="F29" s="1"/>
      <c r="G29" s="1"/>
      <c r="H29" s="5"/>
      <c r="I29" s="6">
        <v>0.107</v>
      </c>
      <c r="J29" s="7">
        <f t="shared" si="1"/>
        <v>0</v>
      </c>
    </row>
    <row r="30" spans="1:11" x14ac:dyDescent="0.3">
      <c r="A30" s="1">
        <v>10191</v>
      </c>
      <c r="B30" s="2" t="s">
        <v>159</v>
      </c>
      <c r="C30" s="2" t="s">
        <v>160</v>
      </c>
      <c r="D30" s="2" t="s">
        <v>2</v>
      </c>
      <c r="E30" s="1">
        <v>1</v>
      </c>
      <c r="F30" s="1"/>
      <c r="G30" s="1"/>
      <c r="H30" s="5"/>
      <c r="I30" s="6">
        <v>0.107</v>
      </c>
      <c r="J30" s="7">
        <f t="shared" si="1"/>
        <v>0</v>
      </c>
    </row>
    <row r="31" spans="1:11" x14ac:dyDescent="0.3">
      <c r="A31" s="1">
        <v>11153</v>
      </c>
      <c r="B31" s="2" t="s">
        <v>30</v>
      </c>
      <c r="C31" s="2" t="s">
        <v>31</v>
      </c>
      <c r="D31" s="2" t="s">
        <v>2</v>
      </c>
      <c r="E31" s="1">
        <v>1</v>
      </c>
      <c r="F31" s="1"/>
      <c r="G31" s="1"/>
      <c r="H31" s="5"/>
      <c r="I31" s="6">
        <v>0.107</v>
      </c>
      <c r="J31" s="7">
        <f t="shared" si="1"/>
        <v>0</v>
      </c>
    </row>
    <row r="32" spans="1:11" x14ac:dyDescent="0.3">
      <c r="A32" s="1">
        <v>11173</v>
      </c>
      <c r="B32" s="2" t="s">
        <v>32</v>
      </c>
      <c r="C32" s="2" t="s">
        <v>31</v>
      </c>
      <c r="D32" s="2" t="s">
        <v>2</v>
      </c>
      <c r="E32" s="1">
        <v>4</v>
      </c>
      <c r="F32" s="1">
        <v>23.05</v>
      </c>
      <c r="G32" s="1"/>
      <c r="H32" s="5">
        <v>24.01</v>
      </c>
      <c r="I32" s="6">
        <v>0.04</v>
      </c>
      <c r="J32" s="7">
        <f t="shared" si="1"/>
        <v>-23.049600000000002</v>
      </c>
    </row>
    <row r="33" spans="1:10" x14ac:dyDescent="0.3">
      <c r="A33" s="1">
        <v>11408</v>
      </c>
      <c r="B33" s="2" t="s">
        <v>33</v>
      </c>
      <c r="C33" s="2" t="s">
        <v>34</v>
      </c>
      <c r="D33" s="2" t="s">
        <v>2</v>
      </c>
      <c r="E33" s="1">
        <v>2</v>
      </c>
      <c r="F33" s="1">
        <v>175.74</v>
      </c>
      <c r="G33" s="1" t="s">
        <v>198</v>
      </c>
      <c r="H33" s="5">
        <v>183.06</v>
      </c>
      <c r="I33" s="6">
        <v>0.04</v>
      </c>
      <c r="J33" s="7">
        <f t="shared" si="1"/>
        <v>-175.73760000000001</v>
      </c>
    </row>
    <row r="34" spans="1:10" x14ac:dyDescent="0.3">
      <c r="A34" s="1">
        <v>11690</v>
      </c>
      <c r="B34" s="2" t="s">
        <v>35</v>
      </c>
      <c r="C34" s="2" t="s">
        <v>36</v>
      </c>
      <c r="D34" s="2" t="s">
        <v>2</v>
      </c>
      <c r="E34" s="1">
        <v>1</v>
      </c>
      <c r="F34" s="1"/>
      <c r="G34" s="1"/>
      <c r="H34" s="5"/>
      <c r="I34" s="6">
        <v>0.107</v>
      </c>
      <c r="J34" s="7">
        <f t="shared" si="1"/>
        <v>0</v>
      </c>
    </row>
    <row r="35" spans="1:10" x14ac:dyDescent="0.3">
      <c r="A35" s="1">
        <v>11803</v>
      </c>
      <c r="B35" s="2" t="s">
        <v>37</v>
      </c>
      <c r="C35" s="2" t="s">
        <v>4</v>
      </c>
      <c r="D35" s="2" t="s">
        <v>2</v>
      </c>
      <c r="E35" s="1">
        <v>30</v>
      </c>
      <c r="F35" s="1">
        <v>21.83</v>
      </c>
      <c r="G35" s="1"/>
      <c r="H35" s="5">
        <v>24.45</v>
      </c>
      <c r="I35" s="6">
        <v>0.107</v>
      </c>
      <c r="J35" s="7">
        <f t="shared" si="1"/>
        <v>-21.833849999999998</v>
      </c>
    </row>
    <row r="36" spans="1:10" x14ac:dyDescent="0.3">
      <c r="A36" s="1">
        <v>11836</v>
      </c>
      <c r="B36" s="2" t="s">
        <v>181</v>
      </c>
      <c r="C36" s="2" t="s">
        <v>57</v>
      </c>
      <c r="D36" s="2" t="s">
        <v>2</v>
      </c>
      <c r="E36" s="1">
        <v>14</v>
      </c>
      <c r="F36" s="1"/>
      <c r="G36" s="1"/>
      <c r="H36" s="5"/>
      <c r="I36" s="6">
        <v>0.107</v>
      </c>
      <c r="J36" s="7">
        <f t="shared" si="1"/>
        <v>0</v>
      </c>
    </row>
    <row r="37" spans="1:10" x14ac:dyDescent="0.3">
      <c r="A37" s="1">
        <v>12037</v>
      </c>
      <c r="B37" s="2" t="s">
        <v>182</v>
      </c>
      <c r="C37" s="2" t="s">
        <v>183</v>
      </c>
      <c r="D37" s="2" t="s">
        <v>2</v>
      </c>
      <c r="E37" s="1">
        <v>1</v>
      </c>
      <c r="F37" s="1"/>
      <c r="G37" s="1"/>
      <c r="H37" s="5"/>
      <c r="I37" s="6">
        <v>0.107</v>
      </c>
      <c r="J37" s="7">
        <f t="shared" si="1"/>
        <v>0</v>
      </c>
    </row>
    <row r="38" spans="1:10" x14ac:dyDescent="0.3">
      <c r="A38" s="1">
        <v>12509</v>
      </c>
      <c r="B38" s="2" t="s">
        <v>38</v>
      </c>
      <c r="C38" s="2" t="s">
        <v>4</v>
      </c>
      <c r="D38" s="2" t="s">
        <v>2</v>
      </c>
      <c r="E38" s="1">
        <v>5</v>
      </c>
      <c r="F38" s="1"/>
      <c r="G38" s="1"/>
      <c r="H38" s="5"/>
      <c r="I38" s="6">
        <v>0.107</v>
      </c>
      <c r="J38" s="7">
        <f t="shared" si="1"/>
        <v>0</v>
      </c>
    </row>
    <row r="39" spans="1:10" x14ac:dyDescent="0.3">
      <c r="A39" s="1">
        <v>12964</v>
      </c>
      <c r="B39" s="2" t="s">
        <v>39</v>
      </c>
      <c r="C39" s="2" t="s">
        <v>8</v>
      </c>
      <c r="D39" s="2" t="s">
        <v>2</v>
      </c>
      <c r="E39" s="1">
        <v>6</v>
      </c>
      <c r="F39" s="1">
        <v>340</v>
      </c>
      <c r="G39" s="1"/>
      <c r="H39" s="5">
        <v>380.74</v>
      </c>
      <c r="I39" s="6">
        <v>0.107</v>
      </c>
      <c r="J39" s="7">
        <f t="shared" si="1"/>
        <v>-340.00082000000003</v>
      </c>
    </row>
    <row r="40" spans="1:10" x14ac:dyDescent="0.3">
      <c r="A40" s="1">
        <v>13641</v>
      </c>
      <c r="B40" s="2" t="s">
        <v>40</v>
      </c>
      <c r="C40" s="2" t="s">
        <v>41</v>
      </c>
      <c r="D40" s="2" t="s">
        <v>2</v>
      </c>
      <c r="E40" s="1">
        <v>1</v>
      </c>
      <c r="F40" s="1"/>
      <c r="G40" s="1"/>
      <c r="H40" s="5"/>
      <c r="I40" s="6">
        <v>0.107</v>
      </c>
      <c r="J40" s="7">
        <f t="shared" si="1"/>
        <v>0</v>
      </c>
    </row>
    <row r="41" spans="1:10" x14ac:dyDescent="0.3">
      <c r="A41" s="1">
        <v>13697</v>
      </c>
      <c r="B41" s="2" t="s">
        <v>184</v>
      </c>
      <c r="C41" s="2" t="s">
        <v>185</v>
      </c>
      <c r="D41" s="2" t="s">
        <v>2</v>
      </c>
      <c r="E41" s="1">
        <v>1</v>
      </c>
      <c r="F41" s="1"/>
      <c r="G41" s="1"/>
      <c r="H41" s="5"/>
      <c r="I41" s="6">
        <v>0.107</v>
      </c>
      <c r="J41" s="7">
        <f t="shared" si="1"/>
        <v>0</v>
      </c>
    </row>
    <row r="42" spans="1:10" x14ac:dyDescent="0.3">
      <c r="A42" s="1">
        <v>14508</v>
      </c>
      <c r="B42" s="2" t="s">
        <v>161</v>
      </c>
      <c r="C42" s="2" t="s">
        <v>162</v>
      </c>
      <c r="D42" s="2" t="s">
        <v>2</v>
      </c>
      <c r="E42" s="1">
        <v>3</v>
      </c>
      <c r="F42" s="1">
        <v>114.29</v>
      </c>
      <c r="G42" s="1"/>
      <c r="H42" s="5">
        <v>127.98</v>
      </c>
      <c r="I42" s="6">
        <v>0.107</v>
      </c>
      <c r="J42" s="7">
        <f t="shared" si="1"/>
        <v>-114.28614</v>
      </c>
    </row>
    <row r="43" spans="1:10" x14ac:dyDescent="0.3">
      <c r="A43" s="1">
        <v>14617</v>
      </c>
      <c r="B43" s="2" t="s">
        <v>42</v>
      </c>
      <c r="C43" s="2" t="s">
        <v>4</v>
      </c>
      <c r="D43" s="2" t="s">
        <v>2</v>
      </c>
      <c r="E43" s="1">
        <v>20</v>
      </c>
      <c r="F43" s="1">
        <v>73.239999999999995</v>
      </c>
      <c r="G43" s="1"/>
      <c r="H43" s="5">
        <v>82.02</v>
      </c>
      <c r="I43" s="6">
        <v>0.107</v>
      </c>
      <c r="J43" s="7">
        <f t="shared" si="1"/>
        <v>-73.243859999999998</v>
      </c>
    </row>
    <row r="44" spans="1:10" x14ac:dyDescent="0.3">
      <c r="A44" s="1">
        <v>15028</v>
      </c>
      <c r="B44" s="2" t="s">
        <v>43</v>
      </c>
      <c r="C44" s="2" t="s">
        <v>44</v>
      </c>
      <c r="D44" s="2" t="s">
        <v>2</v>
      </c>
      <c r="E44" s="1">
        <v>6</v>
      </c>
      <c r="F44" s="1">
        <v>23.33</v>
      </c>
      <c r="G44" s="1"/>
      <c r="H44" s="5">
        <v>24.3</v>
      </c>
      <c r="I44" s="6">
        <v>0.04</v>
      </c>
      <c r="J44" s="7">
        <f t="shared" si="1"/>
        <v>-23.327999999999999</v>
      </c>
    </row>
    <row r="45" spans="1:10" x14ac:dyDescent="0.3">
      <c r="A45" s="1">
        <v>15124</v>
      </c>
      <c r="B45" s="2" t="s">
        <v>45</v>
      </c>
      <c r="C45" s="2" t="s">
        <v>46</v>
      </c>
      <c r="D45" s="2" t="s">
        <v>2</v>
      </c>
      <c r="E45" s="1">
        <v>3</v>
      </c>
      <c r="F45" s="1"/>
      <c r="G45" s="1"/>
      <c r="H45" s="5"/>
      <c r="I45" s="6">
        <v>0.107</v>
      </c>
      <c r="J45" s="7">
        <f t="shared" si="1"/>
        <v>0</v>
      </c>
    </row>
    <row r="46" spans="1:10" x14ac:dyDescent="0.3">
      <c r="A46" s="1">
        <v>15267</v>
      </c>
      <c r="B46" s="2" t="s">
        <v>47</v>
      </c>
      <c r="C46" s="2" t="s">
        <v>41</v>
      </c>
      <c r="D46" s="2" t="s">
        <v>2</v>
      </c>
      <c r="E46" s="1">
        <v>1</v>
      </c>
      <c r="F46" s="1"/>
      <c r="G46" s="1"/>
      <c r="H46" s="5"/>
      <c r="I46" s="6">
        <v>0.107</v>
      </c>
      <c r="J46" s="7">
        <f t="shared" si="1"/>
        <v>0</v>
      </c>
    </row>
    <row r="47" spans="1:10" x14ac:dyDescent="0.3">
      <c r="A47" s="1">
        <v>15270</v>
      </c>
      <c r="B47" s="2" t="s">
        <v>48</v>
      </c>
      <c r="C47" s="2" t="s">
        <v>19</v>
      </c>
      <c r="D47" s="2" t="s">
        <v>2</v>
      </c>
      <c r="E47" s="1">
        <v>5</v>
      </c>
      <c r="F47" s="1">
        <v>75.760000000000005</v>
      </c>
      <c r="G47" s="1"/>
      <c r="H47" s="5">
        <v>84.84</v>
      </c>
      <c r="I47" s="6">
        <v>0.107</v>
      </c>
      <c r="J47" s="7">
        <f t="shared" si="1"/>
        <v>-75.76212000000001</v>
      </c>
    </row>
    <row r="48" spans="1:10" x14ac:dyDescent="0.3">
      <c r="A48" s="1">
        <v>15278</v>
      </c>
      <c r="B48" s="2" t="s">
        <v>49</v>
      </c>
      <c r="C48" s="2" t="s">
        <v>50</v>
      </c>
      <c r="D48" s="2" t="s">
        <v>2</v>
      </c>
      <c r="E48" s="1">
        <v>3</v>
      </c>
      <c r="F48" s="1">
        <v>409.78</v>
      </c>
      <c r="G48" s="1"/>
      <c r="H48" s="5">
        <v>458.88</v>
      </c>
      <c r="I48" s="6">
        <v>0.107</v>
      </c>
      <c r="J48" s="7">
        <f t="shared" si="1"/>
        <v>-409.77983999999998</v>
      </c>
    </row>
    <row r="49" spans="1:10" x14ac:dyDescent="0.3">
      <c r="A49" s="1">
        <v>15347</v>
      </c>
      <c r="B49" s="2" t="s">
        <v>51</v>
      </c>
      <c r="C49" s="2" t="s">
        <v>4</v>
      </c>
      <c r="D49" s="2" t="s">
        <v>2</v>
      </c>
      <c r="E49" s="1">
        <v>1</v>
      </c>
      <c r="F49" s="1">
        <v>48.83</v>
      </c>
      <c r="G49" s="1"/>
      <c r="H49" s="5">
        <v>54.68</v>
      </c>
      <c r="I49" s="6">
        <v>0.107</v>
      </c>
      <c r="J49" s="7">
        <f t="shared" si="1"/>
        <v>-48.829239999999999</v>
      </c>
    </row>
    <row r="50" spans="1:10" x14ac:dyDescent="0.3">
      <c r="A50" s="1">
        <v>15417</v>
      </c>
      <c r="B50" s="2" t="s">
        <v>52</v>
      </c>
      <c r="C50" s="2" t="s">
        <v>53</v>
      </c>
      <c r="D50" s="2" t="s">
        <v>2</v>
      </c>
      <c r="E50" s="1">
        <v>1</v>
      </c>
      <c r="F50" s="1"/>
      <c r="G50" s="1"/>
      <c r="H50" s="5"/>
      <c r="I50" s="6">
        <v>0.107</v>
      </c>
      <c r="J50" s="7">
        <f t="shared" si="1"/>
        <v>0</v>
      </c>
    </row>
    <row r="51" spans="1:10" x14ac:dyDescent="0.3">
      <c r="A51" s="1">
        <v>15428</v>
      </c>
      <c r="B51" s="2" t="s">
        <v>54</v>
      </c>
      <c r="C51" s="2" t="s">
        <v>55</v>
      </c>
      <c r="D51" s="2" t="s">
        <v>2</v>
      </c>
      <c r="E51" s="1">
        <v>6</v>
      </c>
      <c r="F51" s="1">
        <v>95.91</v>
      </c>
      <c r="G51" s="1"/>
      <c r="H51" s="5">
        <v>107.4</v>
      </c>
      <c r="I51" s="6">
        <v>0.107</v>
      </c>
      <c r="J51" s="7">
        <f t="shared" si="1"/>
        <v>-95.908200000000008</v>
      </c>
    </row>
    <row r="52" spans="1:10" x14ac:dyDescent="0.3">
      <c r="A52" s="1">
        <v>15679</v>
      </c>
      <c r="B52" s="2" t="s">
        <v>150</v>
      </c>
      <c r="C52" s="2" t="s">
        <v>6</v>
      </c>
      <c r="D52" s="2" t="s">
        <v>2</v>
      </c>
      <c r="E52" s="1">
        <v>4</v>
      </c>
      <c r="F52" s="1"/>
      <c r="G52" s="1"/>
      <c r="H52" s="5"/>
      <c r="I52" s="6">
        <v>0.107</v>
      </c>
      <c r="J52" s="7">
        <f t="shared" si="1"/>
        <v>0</v>
      </c>
    </row>
    <row r="53" spans="1:10" x14ac:dyDescent="0.3">
      <c r="A53" s="1">
        <v>15957</v>
      </c>
      <c r="B53" s="2" t="s">
        <v>56</v>
      </c>
      <c r="C53" s="2" t="s">
        <v>57</v>
      </c>
      <c r="D53" s="2" t="s">
        <v>2</v>
      </c>
      <c r="E53" s="1">
        <v>12</v>
      </c>
      <c r="F53" s="1"/>
      <c r="G53" s="1"/>
      <c r="H53" s="5"/>
      <c r="I53" s="6">
        <v>0.107</v>
      </c>
      <c r="J53" s="7">
        <f t="shared" si="1"/>
        <v>0</v>
      </c>
    </row>
    <row r="54" spans="1:10" x14ac:dyDescent="0.3">
      <c r="A54" s="1">
        <v>16185</v>
      </c>
      <c r="B54" s="2" t="s">
        <v>58</v>
      </c>
      <c r="C54" s="2" t="s">
        <v>19</v>
      </c>
      <c r="D54" s="2" t="s">
        <v>2</v>
      </c>
      <c r="E54" s="1">
        <v>3</v>
      </c>
      <c r="F54" s="1">
        <v>19.96</v>
      </c>
      <c r="G54" s="1"/>
      <c r="H54" s="5">
        <v>22.35</v>
      </c>
      <c r="I54" s="6">
        <v>0.107</v>
      </c>
      <c r="J54" s="7">
        <f t="shared" si="1"/>
        <v>-19.958550000000002</v>
      </c>
    </row>
    <row r="55" spans="1:10" x14ac:dyDescent="0.3">
      <c r="A55" s="1">
        <v>16328</v>
      </c>
      <c r="B55" s="2" t="s">
        <v>59</v>
      </c>
      <c r="C55" s="2" t="s">
        <v>53</v>
      </c>
      <c r="D55" s="2" t="s">
        <v>2</v>
      </c>
      <c r="E55" s="1">
        <v>2</v>
      </c>
      <c r="F55" s="1">
        <v>66.47</v>
      </c>
      <c r="G55" s="1"/>
      <c r="H55" s="5">
        <v>74.430000000000007</v>
      </c>
      <c r="I55" s="6">
        <v>0.107</v>
      </c>
      <c r="J55" s="7">
        <f t="shared" si="1"/>
        <v>-66.465990000000005</v>
      </c>
    </row>
    <row r="56" spans="1:10" x14ac:dyDescent="0.3">
      <c r="A56" s="1">
        <v>16348</v>
      </c>
      <c r="B56" s="2" t="s">
        <v>163</v>
      </c>
      <c r="C56" s="2" t="s">
        <v>162</v>
      </c>
      <c r="D56" s="2" t="s">
        <v>2</v>
      </c>
      <c r="E56" s="1">
        <v>5</v>
      </c>
      <c r="F56" s="1">
        <v>81.209999999999994</v>
      </c>
      <c r="G56" s="1"/>
      <c r="H56" s="5">
        <v>90.94</v>
      </c>
      <c r="I56" s="6">
        <v>0.107</v>
      </c>
      <c r="J56" s="7">
        <f t="shared" si="1"/>
        <v>-81.209419999999994</v>
      </c>
    </row>
    <row r="57" spans="1:10" x14ac:dyDescent="0.3">
      <c r="A57" s="1">
        <v>16414</v>
      </c>
      <c r="B57" s="2" t="s">
        <v>60</v>
      </c>
      <c r="C57" s="2" t="s">
        <v>61</v>
      </c>
      <c r="D57" s="2" t="s">
        <v>2</v>
      </c>
      <c r="E57" s="1">
        <v>1</v>
      </c>
      <c r="F57" s="1"/>
      <c r="G57" s="1"/>
      <c r="H57" s="5"/>
      <c r="I57" s="6">
        <v>0.107</v>
      </c>
      <c r="J57" s="7">
        <f t="shared" si="1"/>
        <v>0</v>
      </c>
    </row>
    <row r="58" spans="1:10" x14ac:dyDescent="0.3">
      <c r="A58" s="1">
        <v>16865</v>
      </c>
      <c r="B58" s="2" t="s">
        <v>62</v>
      </c>
      <c r="C58" s="2" t="s">
        <v>63</v>
      </c>
      <c r="D58" s="2" t="s">
        <v>2</v>
      </c>
      <c r="E58" s="1">
        <v>1</v>
      </c>
      <c r="F58" s="1"/>
      <c r="G58" s="1"/>
      <c r="H58" s="5"/>
      <c r="I58" s="6">
        <v>0.107</v>
      </c>
      <c r="J58" s="7">
        <f t="shared" si="1"/>
        <v>0</v>
      </c>
    </row>
    <row r="59" spans="1:10" x14ac:dyDescent="0.3">
      <c r="A59" s="1">
        <v>17239</v>
      </c>
      <c r="B59" s="2" t="s">
        <v>64</v>
      </c>
      <c r="C59" s="2" t="s">
        <v>4</v>
      </c>
      <c r="D59" s="2" t="s">
        <v>2</v>
      </c>
      <c r="E59" s="1">
        <v>4</v>
      </c>
      <c r="F59" s="1">
        <v>20.58</v>
      </c>
      <c r="G59" s="1"/>
      <c r="H59" s="5">
        <v>23.05</v>
      </c>
      <c r="I59" s="6">
        <v>0.107</v>
      </c>
      <c r="J59" s="7">
        <f t="shared" si="1"/>
        <v>-20.583650000000002</v>
      </c>
    </row>
    <row r="60" spans="1:10" x14ac:dyDescent="0.3">
      <c r="A60" s="1">
        <v>17253</v>
      </c>
      <c r="B60" s="2" t="s">
        <v>186</v>
      </c>
      <c r="C60" s="2" t="s">
        <v>171</v>
      </c>
      <c r="D60" s="2" t="s">
        <v>2</v>
      </c>
      <c r="E60" s="1">
        <v>3</v>
      </c>
      <c r="F60" s="1"/>
      <c r="G60" s="1"/>
      <c r="H60" s="5"/>
      <c r="I60" s="6">
        <v>0.107</v>
      </c>
      <c r="J60" s="7">
        <f t="shared" si="1"/>
        <v>0</v>
      </c>
    </row>
    <row r="61" spans="1:10" x14ac:dyDescent="0.3">
      <c r="A61" s="1">
        <v>17328</v>
      </c>
      <c r="B61" s="2" t="s">
        <v>65</v>
      </c>
      <c r="C61" s="2" t="s">
        <v>24</v>
      </c>
      <c r="D61" s="2" t="s">
        <v>2</v>
      </c>
      <c r="E61" s="1">
        <v>1</v>
      </c>
      <c r="F61" s="1"/>
      <c r="G61" s="1"/>
      <c r="H61" s="5"/>
      <c r="I61" s="6">
        <v>0.107</v>
      </c>
      <c r="J61" s="7">
        <f t="shared" si="1"/>
        <v>0</v>
      </c>
    </row>
    <row r="62" spans="1:10" x14ac:dyDescent="0.3">
      <c r="A62" s="1">
        <v>17458</v>
      </c>
      <c r="B62" s="2" t="s">
        <v>66</v>
      </c>
      <c r="C62" s="2" t="s">
        <v>67</v>
      </c>
      <c r="D62" s="2" t="s">
        <v>2</v>
      </c>
      <c r="E62" s="1">
        <v>1</v>
      </c>
      <c r="F62" s="1"/>
      <c r="G62" s="1"/>
      <c r="H62" s="5"/>
      <c r="I62" s="6">
        <v>0.107</v>
      </c>
      <c r="J62" s="7">
        <f t="shared" si="1"/>
        <v>0</v>
      </c>
    </row>
    <row r="63" spans="1:10" x14ac:dyDescent="0.3">
      <c r="A63" s="1">
        <v>17468</v>
      </c>
      <c r="B63" s="2" t="s">
        <v>68</v>
      </c>
      <c r="C63" s="2" t="s">
        <v>8</v>
      </c>
      <c r="D63" s="2" t="s">
        <v>2</v>
      </c>
      <c r="E63" s="1">
        <v>1</v>
      </c>
      <c r="F63" s="1"/>
      <c r="G63" s="1"/>
      <c r="H63" s="5"/>
      <c r="I63" s="6">
        <v>0.107</v>
      </c>
      <c r="J63" s="7">
        <f t="shared" si="1"/>
        <v>0</v>
      </c>
    </row>
    <row r="64" spans="1:10" x14ac:dyDescent="0.3">
      <c r="A64" s="1">
        <v>17755</v>
      </c>
      <c r="B64" s="2" t="s">
        <v>69</v>
      </c>
      <c r="C64" s="2" t="s">
        <v>31</v>
      </c>
      <c r="D64" s="2" t="s">
        <v>2</v>
      </c>
      <c r="E64" s="1">
        <v>1</v>
      </c>
      <c r="F64" s="1">
        <v>53.83</v>
      </c>
      <c r="G64" s="1" t="s">
        <v>199</v>
      </c>
      <c r="H64" s="5">
        <v>56.07</v>
      </c>
      <c r="I64" s="6">
        <v>0.04</v>
      </c>
      <c r="J64" s="7">
        <f t="shared" si="1"/>
        <v>-53.827199999999998</v>
      </c>
    </row>
    <row r="65" spans="1:10" x14ac:dyDescent="0.3">
      <c r="A65" s="1">
        <v>17944</v>
      </c>
      <c r="B65" s="2" t="s">
        <v>164</v>
      </c>
      <c r="C65" s="2" t="s">
        <v>162</v>
      </c>
      <c r="D65" s="2" t="s">
        <v>2</v>
      </c>
      <c r="E65" s="1">
        <v>3</v>
      </c>
      <c r="F65" s="1">
        <v>56.1</v>
      </c>
      <c r="G65" s="1"/>
      <c r="H65" s="5">
        <v>62.82</v>
      </c>
      <c r="I65" s="6">
        <v>0.107</v>
      </c>
      <c r="J65" s="7">
        <f t="shared" si="1"/>
        <v>-56.098260000000003</v>
      </c>
    </row>
    <row r="66" spans="1:10" x14ac:dyDescent="0.3">
      <c r="A66" s="1">
        <v>17973</v>
      </c>
      <c r="B66" s="2" t="s">
        <v>70</v>
      </c>
      <c r="C66" s="2" t="s">
        <v>29</v>
      </c>
      <c r="D66" s="2" t="s">
        <v>2</v>
      </c>
      <c r="E66" s="1">
        <v>1</v>
      </c>
      <c r="F66" s="1"/>
      <c r="G66" s="1"/>
      <c r="H66" s="5"/>
      <c r="I66" s="6">
        <v>0.107</v>
      </c>
      <c r="J66" s="7">
        <f t="shared" si="1"/>
        <v>0</v>
      </c>
    </row>
    <row r="67" spans="1:10" x14ac:dyDescent="0.3">
      <c r="A67" s="1">
        <v>18016</v>
      </c>
      <c r="B67" s="2" t="s">
        <v>71</v>
      </c>
      <c r="C67" s="2" t="s">
        <v>72</v>
      </c>
      <c r="D67" s="2" t="s">
        <v>2</v>
      </c>
      <c r="E67" s="1">
        <v>1</v>
      </c>
      <c r="F67" s="1"/>
      <c r="G67" s="1"/>
      <c r="H67" s="5"/>
      <c r="I67" s="6">
        <v>0.107</v>
      </c>
      <c r="J67" s="7">
        <f t="shared" ref="J67:J130" si="2">(H67*I67)-H67</f>
        <v>0</v>
      </c>
    </row>
    <row r="68" spans="1:10" x14ac:dyDescent="0.3">
      <c r="A68" s="1">
        <v>18055</v>
      </c>
      <c r="B68" s="2" t="s">
        <v>73</v>
      </c>
      <c r="C68" s="2" t="s">
        <v>4</v>
      </c>
      <c r="D68" s="2" t="s">
        <v>2</v>
      </c>
      <c r="E68" s="1">
        <v>1</v>
      </c>
      <c r="F68" s="1"/>
      <c r="G68" s="1"/>
      <c r="H68" s="5"/>
      <c r="I68" s="6">
        <v>0.107</v>
      </c>
      <c r="J68" s="7">
        <f t="shared" si="2"/>
        <v>0</v>
      </c>
    </row>
    <row r="69" spans="1:10" x14ac:dyDescent="0.3">
      <c r="A69" s="1">
        <v>18221</v>
      </c>
      <c r="B69" s="2" t="s">
        <v>74</v>
      </c>
      <c r="C69" s="2" t="s">
        <v>75</v>
      </c>
      <c r="D69" s="2" t="s">
        <v>2</v>
      </c>
      <c r="E69" s="1">
        <v>1</v>
      </c>
      <c r="F69" s="1"/>
      <c r="G69" s="1"/>
      <c r="H69" s="5"/>
      <c r="I69" s="6">
        <v>0.107</v>
      </c>
      <c r="J69" s="7">
        <f t="shared" si="2"/>
        <v>0</v>
      </c>
    </row>
    <row r="70" spans="1:10" x14ac:dyDescent="0.3">
      <c r="A70" s="1">
        <v>18233</v>
      </c>
      <c r="B70" s="2" t="s">
        <v>76</v>
      </c>
      <c r="C70" s="2" t="s">
        <v>44</v>
      </c>
      <c r="D70" s="2" t="s">
        <v>2</v>
      </c>
      <c r="E70" s="1">
        <v>2</v>
      </c>
      <c r="F70" s="1"/>
      <c r="G70" s="1"/>
      <c r="H70" s="5"/>
      <c r="I70" s="6">
        <v>0.107</v>
      </c>
      <c r="J70" s="7">
        <f t="shared" si="2"/>
        <v>0</v>
      </c>
    </row>
    <row r="71" spans="1:10" x14ac:dyDescent="0.3">
      <c r="A71" s="1">
        <v>18303</v>
      </c>
      <c r="B71" s="2" t="s">
        <v>77</v>
      </c>
      <c r="C71" s="2" t="s">
        <v>4</v>
      </c>
      <c r="D71" s="2" t="s">
        <v>2</v>
      </c>
      <c r="E71" s="1">
        <v>10</v>
      </c>
      <c r="F71" s="1"/>
      <c r="G71" s="1"/>
      <c r="H71" s="5"/>
      <c r="I71" s="6">
        <v>0.107</v>
      </c>
      <c r="J71" s="7">
        <f t="shared" si="2"/>
        <v>0</v>
      </c>
    </row>
    <row r="72" spans="1:10" x14ac:dyDescent="0.3">
      <c r="A72" s="1">
        <v>18783</v>
      </c>
      <c r="B72" s="2" t="s">
        <v>78</v>
      </c>
      <c r="C72" s="2" t="s">
        <v>79</v>
      </c>
      <c r="D72" s="2" t="s">
        <v>2</v>
      </c>
      <c r="E72" s="1">
        <v>1</v>
      </c>
      <c r="F72" s="1"/>
      <c r="G72" s="1"/>
      <c r="H72" s="5"/>
      <c r="I72" s="6">
        <v>0.107</v>
      </c>
      <c r="J72" s="7">
        <f t="shared" si="2"/>
        <v>0</v>
      </c>
    </row>
    <row r="73" spans="1:10" x14ac:dyDescent="0.3">
      <c r="A73" s="1">
        <v>19222</v>
      </c>
      <c r="B73" s="2" t="s">
        <v>80</v>
      </c>
      <c r="C73" s="2" t="s">
        <v>75</v>
      </c>
      <c r="D73" s="2" t="s">
        <v>2</v>
      </c>
      <c r="E73" s="1">
        <v>2</v>
      </c>
      <c r="F73" s="1"/>
      <c r="G73" s="1"/>
      <c r="H73" s="5"/>
      <c r="I73" s="6">
        <v>0.107</v>
      </c>
      <c r="J73" s="7">
        <f t="shared" si="2"/>
        <v>0</v>
      </c>
    </row>
    <row r="74" spans="1:10" x14ac:dyDescent="0.3">
      <c r="A74" s="1">
        <v>19257</v>
      </c>
      <c r="B74" s="2" t="s">
        <v>81</v>
      </c>
      <c r="C74" s="2" t="s">
        <v>82</v>
      </c>
      <c r="D74" s="2" t="s">
        <v>2</v>
      </c>
      <c r="E74" s="1">
        <v>1</v>
      </c>
      <c r="F74" s="1">
        <v>313.49</v>
      </c>
      <c r="G74" s="1"/>
      <c r="H74" s="5">
        <v>351.05</v>
      </c>
      <c r="I74" s="6">
        <v>0.107</v>
      </c>
      <c r="J74" s="7">
        <f t="shared" si="2"/>
        <v>-313.48765000000003</v>
      </c>
    </row>
    <row r="75" spans="1:10" x14ac:dyDescent="0.3">
      <c r="A75" s="1">
        <v>19482</v>
      </c>
      <c r="B75" s="2" t="s">
        <v>165</v>
      </c>
      <c r="C75" s="2" t="s">
        <v>166</v>
      </c>
      <c r="D75" s="2" t="s">
        <v>2</v>
      </c>
      <c r="E75" s="1">
        <v>1</v>
      </c>
      <c r="F75" s="1"/>
      <c r="G75" s="1"/>
      <c r="H75" s="5"/>
      <c r="I75" s="6">
        <v>0.107</v>
      </c>
      <c r="J75" s="7">
        <f t="shared" si="2"/>
        <v>0</v>
      </c>
    </row>
    <row r="76" spans="1:10" x14ac:dyDescent="0.3">
      <c r="A76" s="1">
        <v>19798</v>
      </c>
      <c r="B76" s="2" t="s">
        <v>167</v>
      </c>
      <c r="C76" s="2" t="s">
        <v>162</v>
      </c>
      <c r="D76" s="2" t="s">
        <v>2</v>
      </c>
      <c r="E76" s="1">
        <v>1</v>
      </c>
      <c r="F76" s="1">
        <v>59.94</v>
      </c>
      <c r="G76" s="1"/>
      <c r="H76" s="5">
        <v>67.12</v>
      </c>
      <c r="I76" s="6">
        <v>0.107</v>
      </c>
      <c r="J76" s="7">
        <f t="shared" si="2"/>
        <v>-59.938160000000003</v>
      </c>
    </row>
    <row r="77" spans="1:10" x14ac:dyDescent="0.3">
      <c r="A77" s="1">
        <v>20058</v>
      </c>
      <c r="B77" s="2" t="s">
        <v>168</v>
      </c>
      <c r="C77" s="2" t="s">
        <v>162</v>
      </c>
      <c r="D77" s="2" t="s">
        <v>2</v>
      </c>
      <c r="E77" s="1">
        <v>6</v>
      </c>
      <c r="F77" s="1">
        <v>42.31</v>
      </c>
      <c r="G77" s="1"/>
      <c r="H77" s="5">
        <v>47.38</v>
      </c>
      <c r="I77" s="6">
        <v>0.107</v>
      </c>
      <c r="J77" s="7">
        <f t="shared" si="2"/>
        <v>-42.310340000000004</v>
      </c>
    </row>
    <row r="78" spans="1:10" x14ac:dyDescent="0.3">
      <c r="A78" s="1">
        <v>20060</v>
      </c>
      <c r="B78" s="2" t="s">
        <v>83</v>
      </c>
      <c r="C78" s="2" t="s">
        <v>75</v>
      </c>
      <c r="D78" s="2" t="s">
        <v>2</v>
      </c>
      <c r="E78" s="1">
        <v>3</v>
      </c>
      <c r="F78" s="1"/>
      <c r="G78" s="1"/>
      <c r="H78" s="5"/>
      <c r="I78" s="6">
        <v>0.107</v>
      </c>
      <c r="J78" s="7">
        <f t="shared" si="2"/>
        <v>0</v>
      </c>
    </row>
    <row r="79" spans="1:10" x14ac:dyDescent="0.3">
      <c r="A79" s="1">
        <v>20119</v>
      </c>
      <c r="B79" s="2" t="s">
        <v>84</v>
      </c>
      <c r="C79" s="2" t="s">
        <v>41</v>
      </c>
      <c r="D79" s="2" t="s">
        <v>2</v>
      </c>
      <c r="E79" s="1">
        <v>1</v>
      </c>
      <c r="F79" s="1"/>
      <c r="G79" s="1"/>
      <c r="H79" s="5"/>
      <c r="I79" s="6">
        <v>0.107</v>
      </c>
      <c r="J79" s="7">
        <f t="shared" si="2"/>
        <v>0</v>
      </c>
    </row>
    <row r="80" spans="1:10" x14ac:dyDescent="0.3">
      <c r="A80" s="1">
        <v>20394</v>
      </c>
      <c r="B80" s="2" t="s">
        <v>85</v>
      </c>
      <c r="C80" s="2" t="s">
        <v>31</v>
      </c>
      <c r="D80" s="2" t="s">
        <v>2</v>
      </c>
      <c r="E80" s="1">
        <v>1</v>
      </c>
      <c r="F80" s="1">
        <v>84.35</v>
      </c>
      <c r="G80" s="1"/>
      <c r="H80" s="5">
        <v>87.86</v>
      </c>
      <c r="I80" s="6">
        <v>0.04</v>
      </c>
      <c r="J80" s="7">
        <f t="shared" si="2"/>
        <v>-84.345600000000005</v>
      </c>
    </row>
    <row r="81" spans="1:10" x14ac:dyDescent="0.3">
      <c r="A81" s="1">
        <v>20641</v>
      </c>
      <c r="B81" s="2" t="s">
        <v>86</v>
      </c>
      <c r="C81" s="2" t="s">
        <v>87</v>
      </c>
      <c r="D81" s="2" t="s">
        <v>2</v>
      </c>
      <c r="E81" s="1">
        <v>1</v>
      </c>
      <c r="F81" s="1"/>
      <c r="G81" s="1"/>
      <c r="H81" s="5"/>
      <c r="I81" s="6">
        <v>0.107</v>
      </c>
      <c r="J81" s="7">
        <f t="shared" si="2"/>
        <v>0</v>
      </c>
    </row>
    <row r="82" spans="1:10" x14ac:dyDescent="0.3">
      <c r="A82" s="1">
        <v>20642</v>
      </c>
      <c r="B82" s="2" t="s">
        <v>88</v>
      </c>
      <c r="C82" s="2" t="s">
        <v>89</v>
      </c>
      <c r="D82" s="2" t="s">
        <v>2</v>
      </c>
      <c r="E82" s="1">
        <v>1</v>
      </c>
      <c r="F82" s="1"/>
      <c r="G82" s="1"/>
      <c r="H82" s="5"/>
      <c r="I82" s="6">
        <v>0.107</v>
      </c>
      <c r="J82" s="7">
        <f t="shared" si="2"/>
        <v>0</v>
      </c>
    </row>
    <row r="83" spans="1:10" x14ac:dyDescent="0.3">
      <c r="A83" s="1">
        <v>20848</v>
      </c>
      <c r="B83" s="2" t="s">
        <v>187</v>
      </c>
      <c r="C83" s="2" t="s">
        <v>176</v>
      </c>
      <c r="D83" s="2" t="s">
        <v>2</v>
      </c>
      <c r="E83" s="1">
        <v>7</v>
      </c>
      <c r="F83" s="1"/>
      <c r="G83" s="1"/>
      <c r="H83" s="5"/>
      <c r="I83" s="6">
        <v>0.107</v>
      </c>
      <c r="J83" s="7">
        <f t="shared" si="2"/>
        <v>0</v>
      </c>
    </row>
    <row r="84" spans="1:10" x14ac:dyDescent="0.3">
      <c r="A84" s="1">
        <v>21076</v>
      </c>
      <c r="B84" s="2" t="s">
        <v>90</v>
      </c>
      <c r="C84" s="2" t="s">
        <v>19</v>
      </c>
      <c r="D84" s="2" t="s">
        <v>2</v>
      </c>
      <c r="E84" s="1">
        <v>10</v>
      </c>
      <c r="F84" s="1">
        <v>57.68</v>
      </c>
      <c r="G84" s="1"/>
      <c r="H84" s="5">
        <v>62.02</v>
      </c>
      <c r="I84" s="6">
        <v>7.0000000000000007E-2</v>
      </c>
      <c r="J84" s="7">
        <f t="shared" si="2"/>
        <v>-57.678600000000003</v>
      </c>
    </row>
    <row r="85" spans="1:10" x14ac:dyDescent="0.3">
      <c r="A85" s="1">
        <v>25042</v>
      </c>
      <c r="B85" s="2" t="s">
        <v>169</v>
      </c>
      <c r="C85" s="2" t="s">
        <v>162</v>
      </c>
      <c r="D85" s="2" t="s">
        <v>2</v>
      </c>
      <c r="E85" s="1">
        <v>3</v>
      </c>
      <c r="F85" s="1">
        <v>68.87</v>
      </c>
      <c r="G85" s="1"/>
      <c r="H85" s="5">
        <v>77.12</v>
      </c>
      <c r="I85" s="6">
        <v>0.107</v>
      </c>
      <c r="J85" s="7">
        <f t="shared" si="2"/>
        <v>-68.868160000000003</v>
      </c>
    </row>
    <row r="86" spans="1:10" x14ac:dyDescent="0.3">
      <c r="A86" s="1">
        <v>25103</v>
      </c>
      <c r="B86" s="2" t="s">
        <v>91</v>
      </c>
      <c r="C86" s="2" t="s">
        <v>31</v>
      </c>
      <c r="D86" s="2" t="s">
        <v>2</v>
      </c>
      <c r="E86" s="1">
        <v>2</v>
      </c>
      <c r="F86" s="1"/>
      <c r="G86" s="1"/>
      <c r="H86" s="5"/>
      <c r="I86" s="6">
        <v>0.107</v>
      </c>
      <c r="J86" s="7">
        <f t="shared" si="2"/>
        <v>0</v>
      </c>
    </row>
    <row r="87" spans="1:10" x14ac:dyDescent="0.3">
      <c r="A87" s="1">
        <v>25119</v>
      </c>
      <c r="B87" s="2" t="s">
        <v>170</v>
      </c>
      <c r="C87" s="2" t="s">
        <v>171</v>
      </c>
      <c r="D87" s="2" t="s">
        <v>2</v>
      </c>
      <c r="E87" s="1">
        <v>3</v>
      </c>
      <c r="F87" s="1">
        <v>90.26</v>
      </c>
      <c r="G87" s="1"/>
      <c r="H87" s="5">
        <v>101.08</v>
      </c>
      <c r="I87" s="6">
        <v>0.107</v>
      </c>
      <c r="J87" s="7">
        <f t="shared" si="2"/>
        <v>-90.264439999999993</v>
      </c>
    </row>
    <row r="88" spans="1:10" x14ac:dyDescent="0.3">
      <c r="A88" s="1">
        <v>25503</v>
      </c>
      <c r="B88" s="2" t="s">
        <v>92</v>
      </c>
      <c r="C88" s="2" t="s">
        <v>8</v>
      </c>
      <c r="D88" s="2" t="s">
        <v>2</v>
      </c>
      <c r="E88" s="1">
        <v>2</v>
      </c>
      <c r="F88" s="1"/>
      <c r="G88" s="1"/>
      <c r="H88" s="5"/>
      <c r="I88" s="6">
        <v>0.107</v>
      </c>
      <c r="J88" s="7">
        <f t="shared" si="2"/>
        <v>0</v>
      </c>
    </row>
    <row r="89" spans="1:10" x14ac:dyDescent="0.3">
      <c r="A89" s="1">
        <v>25727</v>
      </c>
      <c r="B89" s="2" t="s">
        <v>93</v>
      </c>
      <c r="C89" s="2" t="s">
        <v>94</v>
      </c>
      <c r="D89" s="2" t="s">
        <v>2</v>
      </c>
      <c r="E89" s="1">
        <v>1</v>
      </c>
      <c r="F89" s="1"/>
      <c r="G89" s="1"/>
      <c r="H89" s="5"/>
      <c r="I89" s="6">
        <v>0.107</v>
      </c>
      <c r="J89" s="7">
        <f t="shared" si="2"/>
        <v>0</v>
      </c>
    </row>
    <row r="90" spans="1:10" x14ac:dyDescent="0.3">
      <c r="A90" s="1">
        <v>25858</v>
      </c>
      <c r="B90" s="2" t="s">
        <v>95</v>
      </c>
      <c r="C90" s="2" t="s">
        <v>6</v>
      </c>
      <c r="D90" s="2" t="s">
        <v>2</v>
      </c>
      <c r="E90" s="1">
        <v>8</v>
      </c>
      <c r="F90" s="1"/>
      <c r="G90" s="1"/>
      <c r="H90" s="5"/>
      <c r="I90" s="6">
        <v>0.107</v>
      </c>
      <c r="J90" s="7">
        <f t="shared" si="2"/>
        <v>0</v>
      </c>
    </row>
    <row r="91" spans="1:10" x14ac:dyDescent="0.3">
      <c r="A91" s="1">
        <v>26207</v>
      </c>
      <c r="B91" s="2" t="s">
        <v>188</v>
      </c>
      <c r="C91" s="2" t="s">
        <v>29</v>
      </c>
      <c r="D91" s="2" t="s">
        <v>2</v>
      </c>
      <c r="E91" s="1">
        <v>1</v>
      </c>
      <c r="F91" s="1">
        <v>197.44</v>
      </c>
      <c r="G91" s="1"/>
      <c r="H91" s="5">
        <v>221.1</v>
      </c>
      <c r="I91" s="6">
        <v>0.107</v>
      </c>
      <c r="J91" s="7">
        <f t="shared" si="2"/>
        <v>-197.44229999999999</v>
      </c>
    </row>
    <row r="92" spans="1:10" x14ac:dyDescent="0.3">
      <c r="A92" s="1">
        <v>26213</v>
      </c>
      <c r="B92" s="2" t="s">
        <v>96</v>
      </c>
      <c r="C92" s="2" t="s">
        <v>79</v>
      </c>
      <c r="D92" s="2" t="s">
        <v>2</v>
      </c>
      <c r="E92" s="1">
        <v>1</v>
      </c>
      <c r="F92" s="1"/>
      <c r="G92" s="1"/>
      <c r="H92" s="5"/>
      <c r="I92" s="6">
        <v>0.107</v>
      </c>
      <c r="J92" s="7">
        <f t="shared" si="2"/>
        <v>0</v>
      </c>
    </row>
    <row r="93" spans="1:10" x14ac:dyDescent="0.3">
      <c r="A93" s="1">
        <v>26936</v>
      </c>
      <c r="B93" s="2" t="s">
        <v>97</v>
      </c>
      <c r="C93" s="2" t="s">
        <v>19</v>
      </c>
      <c r="D93" s="2" t="s">
        <v>2</v>
      </c>
      <c r="E93" s="1">
        <v>26</v>
      </c>
      <c r="F93" s="1">
        <v>76.900000000000006</v>
      </c>
      <c r="G93" s="1"/>
      <c r="H93" s="5">
        <v>86.11</v>
      </c>
      <c r="I93" s="6">
        <v>0.107</v>
      </c>
      <c r="J93" s="7">
        <f t="shared" si="2"/>
        <v>-76.896230000000003</v>
      </c>
    </row>
    <row r="94" spans="1:10" x14ac:dyDescent="0.3">
      <c r="A94" s="1">
        <v>26943</v>
      </c>
      <c r="B94" s="2" t="s">
        <v>172</v>
      </c>
      <c r="C94" s="2" t="s">
        <v>162</v>
      </c>
      <c r="D94" s="2" t="s">
        <v>2</v>
      </c>
      <c r="E94" s="1">
        <v>2</v>
      </c>
      <c r="F94" s="1">
        <v>91.76</v>
      </c>
      <c r="G94" s="1"/>
      <c r="H94" s="5">
        <v>102.76</v>
      </c>
      <c r="I94" s="6">
        <v>0.107</v>
      </c>
      <c r="J94" s="7">
        <f t="shared" si="2"/>
        <v>-91.764679999999998</v>
      </c>
    </row>
    <row r="95" spans="1:10" x14ac:dyDescent="0.3">
      <c r="A95" s="1">
        <v>27182</v>
      </c>
      <c r="B95" s="2" t="s">
        <v>173</v>
      </c>
      <c r="C95" s="2" t="s">
        <v>162</v>
      </c>
      <c r="D95" s="2" t="s">
        <v>2</v>
      </c>
      <c r="E95" s="1">
        <v>4</v>
      </c>
      <c r="F95" s="1">
        <v>108.56</v>
      </c>
      <c r="G95" s="1"/>
      <c r="H95" s="5">
        <v>121.57</v>
      </c>
      <c r="I95" s="6">
        <v>0.107</v>
      </c>
      <c r="J95" s="7">
        <f t="shared" si="2"/>
        <v>-108.56200999999999</v>
      </c>
    </row>
    <row r="96" spans="1:10" x14ac:dyDescent="0.3">
      <c r="A96" s="1">
        <v>27182</v>
      </c>
      <c r="B96" s="2" t="s">
        <v>173</v>
      </c>
      <c r="C96" s="2" t="s">
        <v>162</v>
      </c>
      <c r="D96" s="2" t="s">
        <v>2</v>
      </c>
      <c r="E96" s="1">
        <v>4</v>
      </c>
      <c r="F96" s="1">
        <v>108.56</v>
      </c>
      <c r="G96" s="1"/>
      <c r="H96" s="5">
        <v>121.57</v>
      </c>
      <c r="I96" s="6">
        <v>0.107</v>
      </c>
      <c r="J96" s="7">
        <f t="shared" si="2"/>
        <v>-108.56200999999999</v>
      </c>
    </row>
    <row r="97" spans="1:10" x14ac:dyDescent="0.3">
      <c r="A97" s="1">
        <v>27216</v>
      </c>
      <c r="B97" s="2" t="s">
        <v>98</v>
      </c>
      <c r="C97" s="2" t="s">
        <v>99</v>
      </c>
      <c r="D97" s="2" t="s">
        <v>2</v>
      </c>
      <c r="E97" s="1">
        <v>12</v>
      </c>
      <c r="F97" s="1"/>
      <c r="G97" s="1"/>
      <c r="H97" s="5"/>
      <c r="I97" s="6">
        <v>0.107</v>
      </c>
      <c r="J97" s="7">
        <f t="shared" si="2"/>
        <v>0</v>
      </c>
    </row>
    <row r="98" spans="1:10" x14ac:dyDescent="0.3">
      <c r="A98" s="1">
        <v>28075</v>
      </c>
      <c r="B98" s="2" t="s">
        <v>100</v>
      </c>
      <c r="C98" s="2" t="s">
        <v>19</v>
      </c>
      <c r="D98" s="2" t="s">
        <v>2</v>
      </c>
      <c r="E98" s="1">
        <v>2</v>
      </c>
      <c r="F98" s="1"/>
      <c r="G98" s="1"/>
      <c r="H98" s="5"/>
      <c r="I98" s="6">
        <v>0.107</v>
      </c>
      <c r="J98" s="7">
        <f t="shared" si="2"/>
        <v>0</v>
      </c>
    </row>
    <row r="99" spans="1:10" x14ac:dyDescent="0.3">
      <c r="A99" s="1">
        <v>28424</v>
      </c>
      <c r="B99" s="2" t="s">
        <v>101</v>
      </c>
      <c r="C99" s="2" t="s">
        <v>102</v>
      </c>
      <c r="D99" s="2" t="s">
        <v>2</v>
      </c>
      <c r="E99" s="1">
        <v>2</v>
      </c>
      <c r="F99" s="1"/>
      <c r="G99" s="1"/>
      <c r="H99" s="5"/>
      <c r="I99" s="6">
        <v>0.107</v>
      </c>
      <c r="J99" s="7">
        <f t="shared" si="2"/>
        <v>0</v>
      </c>
    </row>
    <row r="100" spans="1:10" x14ac:dyDescent="0.3">
      <c r="A100" s="1">
        <v>28931</v>
      </c>
      <c r="B100" s="2" t="s">
        <v>103</v>
      </c>
      <c r="C100" s="2" t="s">
        <v>31</v>
      </c>
      <c r="D100" s="2" t="s">
        <v>2</v>
      </c>
      <c r="E100" s="1">
        <v>5</v>
      </c>
      <c r="F100" s="1">
        <v>45.7</v>
      </c>
      <c r="G100" s="1"/>
      <c r="H100" s="5">
        <v>47.6</v>
      </c>
      <c r="I100" s="6">
        <v>0.04</v>
      </c>
      <c r="J100" s="7">
        <f t="shared" si="2"/>
        <v>-45.695999999999998</v>
      </c>
    </row>
    <row r="101" spans="1:10" x14ac:dyDescent="0.3">
      <c r="A101" s="1">
        <v>29142</v>
      </c>
      <c r="B101" s="2" t="s">
        <v>104</v>
      </c>
      <c r="C101" s="2" t="s">
        <v>105</v>
      </c>
      <c r="D101" s="2" t="s">
        <v>2</v>
      </c>
      <c r="E101" s="1">
        <v>2</v>
      </c>
      <c r="F101" s="1">
        <v>502.52</v>
      </c>
      <c r="G101" s="1"/>
      <c r="H101" s="5">
        <v>562.73</v>
      </c>
      <c r="I101" s="6">
        <v>0.107</v>
      </c>
      <c r="J101" s="7">
        <f t="shared" si="2"/>
        <v>-502.51789000000002</v>
      </c>
    </row>
    <row r="102" spans="1:10" x14ac:dyDescent="0.3">
      <c r="A102" s="1">
        <v>29508</v>
      </c>
      <c r="B102" s="2" t="s">
        <v>106</v>
      </c>
      <c r="C102" s="2" t="s">
        <v>44</v>
      </c>
      <c r="D102" s="2" t="s">
        <v>2</v>
      </c>
      <c r="E102" s="1">
        <v>3</v>
      </c>
      <c r="F102" s="1">
        <v>51.77</v>
      </c>
      <c r="G102" s="1"/>
      <c r="H102" s="5">
        <v>53.93</v>
      </c>
      <c r="I102" s="6">
        <v>0.04</v>
      </c>
      <c r="J102" s="7">
        <f t="shared" si="2"/>
        <v>-51.772799999999997</v>
      </c>
    </row>
    <row r="103" spans="1:10" x14ac:dyDescent="0.3">
      <c r="A103" s="1">
        <v>30436</v>
      </c>
      <c r="B103" s="2" t="s">
        <v>189</v>
      </c>
      <c r="C103" s="2" t="s">
        <v>190</v>
      </c>
      <c r="D103" s="2" t="s">
        <v>2</v>
      </c>
      <c r="E103" s="1">
        <v>1</v>
      </c>
      <c r="F103" s="1"/>
      <c r="G103" s="1"/>
      <c r="H103" s="5"/>
      <c r="I103" s="6">
        <v>0.107</v>
      </c>
      <c r="J103" s="7">
        <f t="shared" si="2"/>
        <v>0</v>
      </c>
    </row>
    <row r="104" spans="1:10" x14ac:dyDescent="0.3">
      <c r="A104" s="1">
        <v>31103</v>
      </c>
      <c r="B104" s="2" t="s">
        <v>107</v>
      </c>
      <c r="C104" s="2" t="s">
        <v>108</v>
      </c>
      <c r="D104" s="2" t="s">
        <v>2</v>
      </c>
      <c r="E104" s="1">
        <v>1</v>
      </c>
      <c r="F104" s="1"/>
      <c r="G104" s="1"/>
      <c r="H104" s="5"/>
      <c r="I104" s="6">
        <v>0.107</v>
      </c>
      <c r="J104" s="7">
        <f t="shared" si="2"/>
        <v>0</v>
      </c>
    </row>
    <row r="105" spans="1:10" x14ac:dyDescent="0.3">
      <c r="A105" s="1">
        <v>31476</v>
      </c>
      <c r="B105" s="2" t="s">
        <v>191</v>
      </c>
      <c r="C105" s="2" t="s">
        <v>15</v>
      </c>
      <c r="D105" s="2" t="s">
        <v>2</v>
      </c>
      <c r="E105" s="1">
        <v>2</v>
      </c>
      <c r="F105" s="1"/>
      <c r="G105" s="1"/>
      <c r="H105" s="5"/>
      <c r="I105" s="6">
        <v>0.107</v>
      </c>
      <c r="J105" s="7">
        <f t="shared" si="2"/>
        <v>0</v>
      </c>
    </row>
    <row r="106" spans="1:10" x14ac:dyDescent="0.3">
      <c r="A106" s="1">
        <v>32152</v>
      </c>
      <c r="B106" s="2" t="s">
        <v>151</v>
      </c>
      <c r="C106" s="2" t="s">
        <v>6</v>
      </c>
      <c r="D106" s="2" t="s">
        <v>2</v>
      </c>
      <c r="E106" s="1">
        <v>1</v>
      </c>
      <c r="F106" s="1"/>
      <c r="G106" s="1"/>
      <c r="H106" s="5"/>
      <c r="I106" s="6">
        <v>0.107</v>
      </c>
      <c r="J106" s="7">
        <f t="shared" si="2"/>
        <v>0</v>
      </c>
    </row>
    <row r="107" spans="1:10" x14ac:dyDescent="0.3">
      <c r="A107" s="1">
        <v>32818</v>
      </c>
      <c r="B107" s="2" t="s">
        <v>109</v>
      </c>
      <c r="C107" s="2" t="s">
        <v>110</v>
      </c>
      <c r="D107" s="2" t="s">
        <v>2</v>
      </c>
      <c r="E107" s="1">
        <v>1</v>
      </c>
      <c r="F107" s="1">
        <v>190.03</v>
      </c>
      <c r="G107" s="1" t="s">
        <v>200</v>
      </c>
      <c r="H107" s="5">
        <v>197.95</v>
      </c>
      <c r="I107" s="6">
        <v>0.04</v>
      </c>
      <c r="J107" s="7">
        <f t="shared" si="2"/>
        <v>-190.03199999999998</v>
      </c>
    </row>
    <row r="108" spans="1:10" x14ac:dyDescent="0.3">
      <c r="A108" s="1">
        <v>32844</v>
      </c>
      <c r="B108" s="2" t="s">
        <v>111</v>
      </c>
      <c r="C108" s="2" t="s">
        <v>55</v>
      </c>
      <c r="D108" s="2" t="s">
        <v>2</v>
      </c>
      <c r="E108" s="1">
        <v>7</v>
      </c>
      <c r="F108" s="1"/>
      <c r="G108" s="1"/>
      <c r="H108" s="5"/>
      <c r="I108" s="6">
        <v>0.107</v>
      </c>
      <c r="J108" s="7">
        <f t="shared" si="2"/>
        <v>0</v>
      </c>
    </row>
    <row r="109" spans="1:10" x14ac:dyDescent="0.3">
      <c r="A109" s="1">
        <v>32932</v>
      </c>
      <c r="B109" s="2" t="s">
        <v>112</v>
      </c>
      <c r="C109" s="2" t="s">
        <v>4</v>
      </c>
      <c r="D109" s="2" t="s">
        <v>2</v>
      </c>
      <c r="E109" s="1">
        <v>2</v>
      </c>
      <c r="F109" s="1"/>
      <c r="G109" s="1"/>
      <c r="H109" s="5"/>
      <c r="I109" s="6">
        <v>0.107</v>
      </c>
      <c r="J109" s="7">
        <f t="shared" si="2"/>
        <v>0</v>
      </c>
    </row>
    <row r="110" spans="1:10" x14ac:dyDescent="0.3">
      <c r="A110" s="1">
        <v>32933</v>
      </c>
      <c r="B110" s="2" t="s">
        <v>113</v>
      </c>
      <c r="C110" s="2" t="s">
        <v>114</v>
      </c>
      <c r="D110" s="2" t="s">
        <v>2</v>
      </c>
      <c r="E110" s="1">
        <v>1</v>
      </c>
      <c r="F110" s="1"/>
      <c r="G110" s="1"/>
      <c r="H110" s="5"/>
      <c r="I110" s="6">
        <v>0.107</v>
      </c>
      <c r="J110" s="7">
        <f t="shared" si="2"/>
        <v>0</v>
      </c>
    </row>
    <row r="111" spans="1:10" x14ac:dyDescent="0.3">
      <c r="A111" s="1">
        <v>33414</v>
      </c>
      <c r="B111" s="2" t="s">
        <v>115</v>
      </c>
      <c r="C111" s="2" t="s">
        <v>116</v>
      </c>
      <c r="D111" s="2" t="s">
        <v>2</v>
      </c>
      <c r="E111" s="1">
        <v>4</v>
      </c>
      <c r="F111" s="1"/>
      <c r="G111" s="1"/>
      <c r="H111" s="5"/>
      <c r="I111" s="6">
        <v>0.107</v>
      </c>
      <c r="J111" s="7">
        <f t="shared" si="2"/>
        <v>0</v>
      </c>
    </row>
    <row r="112" spans="1:10" x14ac:dyDescent="0.3">
      <c r="A112" s="1">
        <v>33750</v>
      </c>
      <c r="B112" s="2" t="s">
        <v>117</v>
      </c>
      <c r="C112" s="2" t="s">
        <v>44</v>
      </c>
      <c r="D112" s="2" t="s">
        <v>2</v>
      </c>
      <c r="E112" s="1">
        <v>4</v>
      </c>
      <c r="F112" s="1">
        <v>43.87</v>
      </c>
      <c r="G112" s="1"/>
      <c r="H112" s="5">
        <v>45.7</v>
      </c>
      <c r="I112" s="6">
        <v>0.04</v>
      </c>
      <c r="J112" s="7">
        <f t="shared" si="2"/>
        <v>-43.872</v>
      </c>
    </row>
    <row r="113" spans="1:11" x14ac:dyDescent="0.3">
      <c r="A113" s="1">
        <v>33774</v>
      </c>
      <c r="B113" s="2" t="s">
        <v>192</v>
      </c>
      <c r="C113" s="2" t="s">
        <v>8</v>
      </c>
      <c r="D113" s="2" t="s">
        <v>2</v>
      </c>
      <c r="E113" s="1">
        <v>6</v>
      </c>
      <c r="F113" s="1"/>
      <c r="G113" s="1"/>
      <c r="H113" s="5"/>
      <c r="I113" s="6">
        <v>0.107</v>
      </c>
      <c r="J113" s="7">
        <f t="shared" si="2"/>
        <v>0</v>
      </c>
    </row>
    <row r="114" spans="1:11" x14ac:dyDescent="0.3">
      <c r="A114" s="1">
        <v>34176</v>
      </c>
      <c r="B114" s="2" t="s">
        <v>118</v>
      </c>
      <c r="C114" s="2" t="s">
        <v>15</v>
      </c>
      <c r="D114" s="2" t="s">
        <v>2</v>
      </c>
      <c r="E114" s="1">
        <v>4</v>
      </c>
      <c r="F114" s="1"/>
      <c r="G114" s="1"/>
      <c r="H114" s="5"/>
      <c r="I114" s="6">
        <v>0.107</v>
      </c>
      <c r="J114" s="7">
        <f t="shared" si="2"/>
        <v>0</v>
      </c>
    </row>
    <row r="115" spans="1:11" x14ac:dyDescent="0.3">
      <c r="A115" s="1">
        <v>34261</v>
      </c>
      <c r="B115" s="2" t="s">
        <v>119</v>
      </c>
      <c r="C115" s="2" t="s">
        <v>22</v>
      </c>
      <c r="D115" s="2" t="s">
        <v>2</v>
      </c>
      <c r="E115" s="1">
        <v>1</v>
      </c>
      <c r="F115" s="9">
        <v>1612.28</v>
      </c>
      <c r="G115" s="1"/>
      <c r="H115" s="5">
        <v>1805.47</v>
      </c>
      <c r="I115" s="6">
        <v>0.107</v>
      </c>
      <c r="J115" s="7">
        <f t="shared" si="2"/>
        <v>-1612.2847099999999</v>
      </c>
      <c r="K115" s="8"/>
    </row>
    <row r="116" spans="1:11" x14ac:dyDescent="0.3">
      <c r="A116" s="1">
        <v>34421</v>
      </c>
      <c r="B116" s="2" t="s">
        <v>120</v>
      </c>
      <c r="C116" s="2" t="s">
        <v>72</v>
      </c>
      <c r="D116" s="2" t="s">
        <v>2</v>
      </c>
      <c r="E116" s="1">
        <v>6</v>
      </c>
      <c r="F116" s="1"/>
      <c r="G116" s="1"/>
      <c r="H116" s="5"/>
      <c r="I116" s="6">
        <v>0.107</v>
      </c>
      <c r="J116" s="7">
        <f t="shared" si="2"/>
        <v>0</v>
      </c>
    </row>
    <row r="117" spans="1:11" x14ac:dyDescent="0.3">
      <c r="A117" s="1">
        <v>35021</v>
      </c>
      <c r="B117" s="2" t="s">
        <v>121</v>
      </c>
      <c r="C117" s="2" t="s">
        <v>63</v>
      </c>
      <c r="D117" s="2" t="s">
        <v>2</v>
      </c>
      <c r="E117" s="1">
        <v>2</v>
      </c>
      <c r="F117" s="1"/>
      <c r="G117" s="1"/>
      <c r="H117" s="5"/>
      <c r="I117" s="6">
        <v>0.107</v>
      </c>
      <c r="J117" s="7">
        <f t="shared" si="2"/>
        <v>0</v>
      </c>
    </row>
    <row r="118" spans="1:11" x14ac:dyDescent="0.3">
      <c r="A118" s="1">
        <v>36260</v>
      </c>
      <c r="B118" s="2" t="s">
        <v>122</v>
      </c>
      <c r="C118" s="2" t="s">
        <v>19</v>
      </c>
      <c r="D118" s="2" t="s">
        <v>2</v>
      </c>
      <c r="E118" s="1">
        <v>1</v>
      </c>
      <c r="F118" s="1">
        <v>531.41999999999996</v>
      </c>
      <c r="G118" s="1"/>
      <c r="H118" s="5">
        <v>553.55999999999995</v>
      </c>
      <c r="I118" s="6">
        <v>0.04</v>
      </c>
      <c r="J118" s="7">
        <f t="shared" si="2"/>
        <v>-531.41759999999999</v>
      </c>
    </row>
    <row r="119" spans="1:11" x14ac:dyDescent="0.3">
      <c r="A119" s="1">
        <v>36598</v>
      </c>
      <c r="B119" s="2" t="s">
        <v>123</v>
      </c>
      <c r="C119" s="2" t="s">
        <v>124</v>
      </c>
      <c r="D119" s="2" t="s">
        <v>2</v>
      </c>
      <c r="E119" s="1">
        <v>2</v>
      </c>
      <c r="F119" s="1"/>
      <c r="G119" s="1"/>
      <c r="H119" s="5"/>
      <c r="I119" s="6">
        <v>0.107</v>
      </c>
      <c r="J119" s="7">
        <f t="shared" si="2"/>
        <v>0</v>
      </c>
    </row>
    <row r="120" spans="1:11" x14ac:dyDescent="0.3">
      <c r="A120" s="1">
        <v>131534</v>
      </c>
      <c r="B120" s="2" t="s">
        <v>152</v>
      </c>
      <c r="C120" s="2" t="s">
        <v>6</v>
      </c>
      <c r="D120" s="2" t="s">
        <v>2</v>
      </c>
      <c r="E120" s="1">
        <v>2</v>
      </c>
      <c r="F120" s="1"/>
      <c r="G120" s="1"/>
      <c r="H120" s="5"/>
      <c r="I120" s="6">
        <v>0.107</v>
      </c>
      <c r="J120" s="7">
        <f t="shared" si="2"/>
        <v>0</v>
      </c>
    </row>
    <row r="121" spans="1:11" x14ac:dyDescent="0.3">
      <c r="A121" s="1">
        <v>133763</v>
      </c>
      <c r="B121" s="2" t="s">
        <v>153</v>
      </c>
      <c r="C121" s="2" t="s">
        <v>6</v>
      </c>
      <c r="D121" s="2" t="s">
        <v>2</v>
      </c>
      <c r="E121" s="1">
        <v>12</v>
      </c>
      <c r="F121" s="1"/>
      <c r="G121" s="1"/>
      <c r="H121" s="5"/>
      <c r="I121" s="6">
        <v>0.107</v>
      </c>
      <c r="J121" s="7">
        <f t="shared" si="2"/>
        <v>0</v>
      </c>
    </row>
    <row r="122" spans="1:11" x14ac:dyDescent="0.3">
      <c r="A122" s="1">
        <v>142376</v>
      </c>
      <c r="B122" s="2" t="s">
        <v>125</v>
      </c>
      <c r="C122" s="2" t="s">
        <v>126</v>
      </c>
      <c r="D122" s="2" t="s">
        <v>2</v>
      </c>
      <c r="E122" s="1">
        <v>36</v>
      </c>
      <c r="F122" s="1">
        <v>47.53</v>
      </c>
      <c r="G122" s="1"/>
      <c r="H122" s="5">
        <v>53.23</v>
      </c>
      <c r="I122" s="6">
        <v>0.107</v>
      </c>
      <c r="J122" s="7">
        <f t="shared" si="2"/>
        <v>-47.534389999999995</v>
      </c>
    </row>
    <row r="123" spans="1:11" x14ac:dyDescent="0.3">
      <c r="A123" s="1">
        <v>151628</v>
      </c>
      <c r="B123" s="2" t="s">
        <v>127</v>
      </c>
      <c r="C123" s="2" t="s">
        <v>72</v>
      </c>
      <c r="D123" s="2" t="s">
        <v>2</v>
      </c>
      <c r="E123" s="1">
        <v>2</v>
      </c>
      <c r="F123" s="1">
        <v>104.98</v>
      </c>
      <c r="G123" s="1"/>
      <c r="H123" s="5">
        <v>109.35</v>
      </c>
      <c r="I123" s="6">
        <v>0.04</v>
      </c>
      <c r="J123" s="7">
        <f t="shared" si="2"/>
        <v>-104.976</v>
      </c>
    </row>
    <row r="124" spans="1:11" x14ac:dyDescent="0.3">
      <c r="A124" s="1">
        <v>165687</v>
      </c>
      <c r="B124" s="2" t="s">
        <v>128</v>
      </c>
      <c r="C124" s="2" t="s">
        <v>72</v>
      </c>
      <c r="D124" s="2" t="s">
        <v>2</v>
      </c>
      <c r="E124" s="1">
        <v>5</v>
      </c>
      <c r="F124" s="1">
        <v>36.619999999999997</v>
      </c>
      <c r="G124" s="1"/>
      <c r="H124" s="5">
        <v>38.15</v>
      </c>
      <c r="I124" s="6">
        <v>0.04</v>
      </c>
      <c r="J124" s="7">
        <f t="shared" si="2"/>
        <v>-36.623999999999995</v>
      </c>
    </row>
    <row r="125" spans="1:11" x14ac:dyDescent="0.3">
      <c r="A125" s="1">
        <v>173587</v>
      </c>
      <c r="B125" s="2" t="s">
        <v>129</v>
      </c>
      <c r="C125" s="2" t="s">
        <v>4</v>
      </c>
      <c r="D125" s="2" t="s">
        <v>2</v>
      </c>
      <c r="E125" s="1">
        <v>2</v>
      </c>
      <c r="F125" s="1"/>
      <c r="G125" s="1"/>
      <c r="H125" s="5"/>
      <c r="I125" s="6">
        <v>0.107</v>
      </c>
      <c r="J125" s="7">
        <f t="shared" si="2"/>
        <v>0</v>
      </c>
    </row>
    <row r="126" spans="1:11" x14ac:dyDescent="0.3">
      <c r="A126" s="1">
        <v>177080</v>
      </c>
      <c r="B126" s="2" t="s">
        <v>130</v>
      </c>
      <c r="C126" s="2" t="s">
        <v>31</v>
      </c>
      <c r="D126" s="2" t="s">
        <v>2</v>
      </c>
      <c r="E126" s="1">
        <v>1</v>
      </c>
      <c r="F126" s="1"/>
      <c r="G126" s="1"/>
      <c r="H126" s="5"/>
      <c r="I126" s="6">
        <v>0.107</v>
      </c>
      <c r="J126" s="7">
        <f t="shared" si="2"/>
        <v>0</v>
      </c>
    </row>
    <row r="127" spans="1:11" x14ac:dyDescent="0.3">
      <c r="A127" s="1">
        <v>178458</v>
      </c>
      <c r="B127" s="2" t="s">
        <v>154</v>
      </c>
      <c r="C127" s="2" t="s">
        <v>6</v>
      </c>
      <c r="D127" s="2" t="s">
        <v>2</v>
      </c>
      <c r="E127" s="1">
        <v>1</v>
      </c>
      <c r="F127" s="1"/>
      <c r="G127" s="1"/>
      <c r="H127" s="5"/>
      <c r="I127" s="6">
        <v>0.107</v>
      </c>
      <c r="J127" s="7">
        <f t="shared" si="2"/>
        <v>0</v>
      </c>
    </row>
    <row r="128" spans="1:11" x14ac:dyDescent="0.3">
      <c r="A128" s="1">
        <v>179409</v>
      </c>
      <c r="B128" s="2" t="s">
        <v>155</v>
      </c>
      <c r="C128" s="2" t="s">
        <v>156</v>
      </c>
      <c r="D128" s="2" t="s">
        <v>2</v>
      </c>
      <c r="E128" s="1">
        <v>2</v>
      </c>
      <c r="F128" s="1"/>
      <c r="G128" s="1"/>
      <c r="H128" s="5"/>
      <c r="I128" s="6">
        <v>0.107</v>
      </c>
      <c r="J128" s="7">
        <f t="shared" si="2"/>
        <v>0</v>
      </c>
    </row>
    <row r="129" spans="1:10" x14ac:dyDescent="0.3">
      <c r="A129" s="1">
        <v>184788</v>
      </c>
      <c r="B129" s="2" t="s">
        <v>131</v>
      </c>
      <c r="C129" s="2" t="s">
        <v>55</v>
      </c>
      <c r="D129" s="2" t="s">
        <v>2</v>
      </c>
      <c r="E129" s="1">
        <v>1</v>
      </c>
      <c r="F129" s="1"/>
      <c r="G129" s="1"/>
      <c r="H129" s="5"/>
      <c r="I129" s="6">
        <v>0.107</v>
      </c>
      <c r="J129" s="7">
        <f t="shared" si="2"/>
        <v>0</v>
      </c>
    </row>
    <row r="130" spans="1:10" x14ac:dyDescent="0.3">
      <c r="A130" s="1">
        <v>198969</v>
      </c>
      <c r="B130" s="2" t="s">
        <v>193</v>
      </c>
      <c r="C130" s="2" t="s">
        <v>194</v>
      </c>
      <c r="D130" s="2" t="s">
        <v>2</v>
      </c>
      <c r="E130" s="1">
        <v>3</v>
      </c>
      <c r="F130" s="1"/>
      <c r="G130" s="1"/>
      <c r="H130" s="5"/>
      <c r="I130" s="6">
        <v>0.107</v>
      </c>
      <c r="J130" s="7">
        <f t="shared" si="2"/>
        <v>0</v>
      </c>
    </row>
    <row r="131" spans="1:10" x14ac:dyDescent="0.3">
      <c r="A131" s="1">
        <v>199876</v>
      </c>
      <c r="B131" s="2" t="s">
        <v>132</v>
      </c>
      <c r="C131" s="2" t="s">
        <v>133</v>
      </c>
      <c r="D131" s="2" t="s">
        <v>2</v>
      </c>
      <c r="E131" s="1">
        <v>1</v>
      </c>
      <c r="F131" s="1"/>
      <c r="G131" s="1"/>
      <c r="H131" s="5"/>
      <c r="I131" s="6">
        <v>0.107</v>
      </c>
      <c r="J131" s="7">
        <f t="shared" ref="J131:J139" si="3">(H131*I131)-H131</f>
        <v>0</v>
      </c>
    </row>
    <row r="132" spans="1:10" x14ac:dyDescent="0.3">
      <c r="A132" s="1">
        <v>201959</v>
      </c>
      <c r="B132" s="2" t="s">
        <v>134</v>
      </c>
      <c r="C132" s="2" t="s">
        <v>89</v>
      </c>
      <c r="D132" s="2" t="s">
        <v>2</v>
      </c>
      <c r="E132" s="1">
        <v>1</v>
      </c>
      <c r="F132" s="1">
        <v>133.35</v>
      </c>
      <c r="G132" s="1"/>
      <c r="H132" s="5">
        <v>138.91</v>
      </c>
      <c r="I132" s="6">
        <v>0.04</v>
      </c>
      <c r="J132" s="7">
        <f t="shared" si="3"/>
        <v>-133.3536</v>
      </c>
    </row>
    <row r="133" spans="1:10" x14ac:dyDescent="0.3">
      <c r="A133" s="1">
        <v>203112</v>
      </c>
      <c r="B133" s="2" t="s">
        <v>135</v>
      </c>
      <c r="C133" s="2" t="s">
        <v>136</v>
      </c>
      <c r="D133" s="2" t="s">
        <v>2</v>
      </c>
      <c r="E133" s="1">
        <v>1</v>
      </c>
      <c r="F133" s="1"/>
      <c r="G133" s="1"/>
      <c r="H133" s="5"/>
      <c r="I133" s="6">
        <v>0.107</v>
      </c>
      <c r="J133" s="7">
        <f t="shared" si="3"/>
        <v>0</v>
      </c>
    </row>
    <row r="134" spans="1:10" x14ac:dyDescent="0.3">
      <c r="A134" s="1">
        <v>203668</v>
      </c>
      <c r="B134" s="2" t="s">
        <v>174</v>
      </c>
      <c r="C134" s="2" t="s">
        <v>89</v>
      </c>
      <c r="D134" s="2" t="s">
        <v>2</v>
      </c>
      <c r="E134" s="1">
        <v>1</v>
      </c>
      <c r="F134" s="1">
        <v>70.47</v>
      </c>
      <c r="G134" s="1"/>
      <c r="H134" s="5">
        <v>73.41</v>
      </c>
      <c r="I134" s="6">
        <v>0.04</v>
      </c>
      <c r="J134" s="7">
        <f t="shared" si="3"/>
        <v>-70.47359999999999</v>
      </c>
    </row>
    <row r="135" spans="1:10" x14ac:dyDescent="0.3">
      <c r="A135" s="1">
        <v>203676</v>
      </c>
      <c r="B135" s="2" t="s">
        <v>137</v>
      </c>
      <c r="C135" s="2" t="s">
        <v>138</v>
      </c>
      <c r="D135" s="2" t="s">
        <v>2</v>
      </c>
      <c r="E135" s="1">
        <v>2</v>
      </c>
      <c r="F135" s="1"/>
      <c r="G135" s="1"/>
      <c r="H135" s="5"/>
      <c r="I135" s="6">
        <v>0.107</v>
      </c>
      <c r="J135" s="7">
        <f t="shared" si="3"/>
        <v>0</v>
      </c>
    </row>
    <row r="136" spans="1:10" x14ac:dyDescent="0.3">
      <c r="A136" s="1">
        <v>207753</v>
      </c>
      <c r="B136" s="2" t="s">
        <v>139</v>
      </c>
      <c r="C136" s="2" t="s">
        <v>140</v>
      </c>
      <c r="D136" s="2" t="s">
        <v>2</v>
      </c>
      <c r="E136" s="1">
        <v>6</v>
      </c>
      <c r="F136" s="1">
        <v>184.91</v>
      </c>
      <c r="G136" s="1"/>
      <c r="H136" s="5">
        <v>192.61</v>
      </c>
      <c r="I136" s="6">
        <v>0.04</v>
      </c>
      <c r="J136" s="7">
        <f t="shared" si="3"/>
        <v>-184.90560000000002</v>
      </c>
    </row>
    <row r="137" spans="1:10" x14ac:dyDescent="0.3">
      <c r="A137" s="1">
        <v>209516</v>
      </c>
      <c r="B137" s="2" t="s">
        <v>141</v>
      </c>
      <c r="C137" s="2" t="s">
        <v>72</v>
      </c>
      <c r="D137" s="2" t="s">
        <v>2</v>
      </c>
      <c r="E137" s="1">
        <v>3</v>
      </c>
      <c r="F137" s="1"/>
      <c r="G137" s="1"/>
      <c r="H137" s="5"/>
      <c r="I137" s="6">
        <v>0.107</v>
      </c>
      <c r="J137" s="7">
        <f t="shared" si="3"/>
        <v>0</v>
      </c>
    </row>
    <row r="138" spans="1:10" x14ac:dyDescent="0.3">
      <c r="A138" s="1">
        <v>219220</v>
      </c>
      <c r="B138" s="2" t="s">
        <v>142</v>
      </c>
      <c r="C138" s="2" t="s">
        <v>31</v>
      </c>
      <c r="D138" s="2" t="s">
        <v>2</v>
      </c>
      <c r="E138" s="1">
        <v>1</v>
      </c>
      <c r="F138" s="1"/>
      <c r="G138" s="1"/>
      <c r="H138" s="5"/>
      <c r="I138" s="6">
        <v>0.107</v>
      </c>
      <c r="J138" s="7">
        <f t="shared" si="3"/>
        <v>0</v>
      </c>
    </row>
    <row r="139" spans="1:10" x14ac:dyDescent="0.3">
      <c r="A139" s="1">
        <v>222357</v>
      </c>
      <c r="B139" s="2" t="s">
        <v>195</v>
      </c>
      <c r="C139" s="2" t="s">
        <v>196</v>
      </c>
      <c r="D139" s="2" t="s">
        <v>2</v>
      </c>
      <c r="E139" s="1">
        <v>1</v>
      </c>
      <c r="F139" s="1"/>
      <c r="G139" s="1"/>
      <c r="H139" s="5"/>
      <c r="I139" s="6">
        <v>0.107</v>
      </c>
      <c r="J139" s="7">
        <f t="shared" si="3"/>
        <v>0</v>
      </c>
    </row>
  </sheetData>
  <sortState xmlns:xlrd2="http://schemas.microsoft.com/office/spreadsheetml/2017/richdata2" ref="A2:E139">
    <sortCondition ref="A139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Eukenem Antonio De Oliveira Silva</dc:creator>
  <cp:lastModifiedBy>James Gomeson Silva Santos</cp:lastModifiedBy>
  <dcterms:created xsi:type="dcterms:W3CDTF">2026-09-25T11:27:54Z</dcterms:created>
  <dcterms:modified xsi:type="dcterms:W3CDTF">2026-09-26T11:26:01Z</dcterms:modified>
</cp:coreProperties>
</file>