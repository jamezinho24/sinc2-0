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SIN\"/>
    </mc:Choice>
  </mc:AlternateContent>
  <xr:revisionPtr revIDLastSave="0" documentId="13_ncr:1_{043B546B-513B-4B18-8CF7-5DFA7817A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9" i="1" l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<sst xmlns="http://schemas.openxmlformats.org/spreadsheetml/2006/main" count="140" uniqueCount="107">
  <si>
    <t>[ PSL282 EFL723 ]  FILTRO LUBRIFICANTECARGO 814 815 CUMMINS</t>
  </si>
  <si>
    <t>TECFIL</t>
  </si>
  <si>
    <t>[ 3306RHO ]  INTERRUPTOR SENSOR PRESSAO OLEO CARGO F4000 CUMMINS ELET</t>
  </si>
  <si>
    <t>3RHO</t>
  </si>
  <si>
    <t>[ FAP4046/1 ARL6070 ]  FILTRO DE AR AMAROK 2.0 2010/ 3.0 2018/</t>
  </si>
  <si>
    <t>WEGA</t>
  </si>
  <si>
    <t>[ 07790BY 2151N ]  RETENTOR RODA TRAS SCANIA 124 SEM REDUCAO</t>
  </si>
  <si>
    <t>SABO</t>
  </si>
  <si>
    <t>[ 00504BG 3135128 ]  RETENTOR PINHAO CAMBI TRAS SC110 112 142</t>
  </si>
  <si>
    <t>[ 50062013 ST57 ]  TERMINAL CARDAN SC112T 113 40LK 142TR</t>
  </si>
  <si>
    <t>SOROCARD</t>
  </si>
  <si>
    <t>[ PSL562 OC522  ]  FILTRO LUBRIFICANTE VW VOYAGE GOL PARATI</t>
  </si>
  <si>
    <t>[ R838 R817 3465365 ]  BUCHA SUSPENSAO CABINE DIANT SCANIA 124 ACO</t>
  </si>
  <si>
    <t>SUPORTE REI</t>
  </si>
  <si>
    <t>[ WK10602 PSD4901 WK11 ]  FILTRO SEPARADOR AGUA MB VOLKS VOLVO SCANIA</t>
  </si>
  <si>
    <t>MANN</t>
  </si>
  <si>
    <t>[ R120LJ10MAQII PSD981 ]  FILTRO SEPARADOR AGUA VOLKS CONSTEL 8150 ORIGINAL</t>
  </si>
  <si>
    <t>RACOR/PARKER</t>
  </si>
  <si>
    <t>[ PA279 A3222FM61 4278 ]  PATIM FREIO MASTER RANDON MODER 99.. L636</t>
  </si>
  <si>
    <t>MASTER</t>
  </si>
  <si>
    <t>[ 3RHO7730 2R2945511 ]  SENSOR PRESSAO BALAO AR CONSTELATION ORIGINAL</t>
  </si>
  <si>
    <t>[ 2150N 08316BRY ]  RETENTOR RODA TRAS CUPULA SCANIA 124 ORIGINAL</t>
  </si>
  <si>
    <t>CORTECO</t>
  </si>
  <si>
    <t>[ TX24582D 512169BR 504380075 V ]  VALVULA TERMOSTATICA TECTOR EUROCARGO 82GRAUS</t>
  </si>
  <si>
    <t>METAL LEVE/MAHLE</t>
  </si>
  <si>
    <t>[ LX531 AP5773 ]  FILTRO AR SCANIA 114 124 94 SERIE4</t>
  </si>
  <si>
    <t>[ C331460 ARS5574 ]  FILTRO AR VOLVO FH12 2006... D13</t>
  </si>
  <si>
    <t>[ PSC494 ]  FILTRO COMBUSTIVEL IVECO TECTOR EUROCARGO</t>
  </si>
  <si>
    <t>[ W9023/1  W93014 (ANT ]  FILTRO HIDRAULICO SC124 98.. SE4</t>
  </si>
  <si>
    <t>[ 6203-2RSC3 ]  ROLAMENTO INDUSTRIAL ORIGINAL</t>
  </si>
  <si>
    <t>TIMKEN</t>
  </si>
  <si>
    <t>[ 13821CP 3074 GL067B ]  LAMPADA 67 24V PHILIPS 5RW PHILIPS</t>
  </si>
  <si>
    <t>PHILIPS</t>
  </si>
  <si>
    <t>[ L733 DV903 DN28  ]  LONA FREIO DIANT VV FH12 NH FM10 12 440</t>
  </si>
  <si>
    <t>LONAFLEX</t>
  </si>
  <si>
    <t>[ 8PK1645 ]  CORREIA ALTERNADOR 8PK1645 MB AXOR EURO 4</t>
  </si>
  <si>
    <t>CONTITECH</t>
  </si>
  <si>
    <t>[ PEC3024 FF5683 PU941 ]  FILTRO COMBUSTIVEL SC124 G420</t>
  </si>
  <si>
    <t>FLEETGUARD</t>
  </si>
  <si>
    <t>[ GP30120 AMD0122  ]  AMORTECEDOR DIANT FIAT STRADA PALIO 2001 EM DIANTE COM GARRA ABS</t>
  </si>
  <si>
    <t>COFAP</t>
  </si>
  <si>
    <t>[ PD90 PD89 ]  PASTILHA FREIO DIANT PALIO SIENA 2009</t>
  </si>
  <si>
    <t>FRASLE</t>
  </si>
  <si>
    <t>[ RCDI07980 HF200G BD7 ]  DISCO FREIO DIANT VENT L200 TRITON 2.4 E 3.2 ATÉ 2020</t>
  </si>
  <si>
    <t>HIPERFREIOS</t>
  </si>
  <si>
    <t>[ ARL5144 FAP9299 C270 ]  FILTRO AR RENAULT DUSTER OROCH 2015 EM DIANTE</t>
  </si>
  <si>
    <t>[ 584780ELRING 5032040 ]  JUNTA COLETOR ESCAPE IVECO STRALIS TRAKKER ORIGINAL</t>
  </si>
  <si>
    <t>ELRING</t>
  </si>
  <si>
    <t>[ 4PK1407SF ]  CORREIA AR CONDICIONADO VW CONSTELATION 4PK1407SF</t>
  </si>
  <si>
    <t>GATES</t>
  </si>
  <si>
    <t>[ SYL2182 PD85 P85 N59 ]  PASTILHA FREIO DIANT UNO MOBI ARGO PEUGEOT 208</t>
  </si>
  <si>
    <t>SYL</t>
  </si>
  <si>
    <t>[ KTB759 CT1105K3 KS22 ]  KIT CORREIA DENTADA JEEP RENEGADE COMPASS FIAT TORO</t>
  </si>
  <si>
    <t>DAYCO</t>
  </si>
  <si>
    <t>[ H60110 PH346 0986B01 ]  FILTRO DIRECAO HIDRAULICO MB1313 1519 O500 OM904 SC110/124</t>
  </si>
  <si>
    <t>[ 8PK1750 ]  CORREIA ALTERNADOR EURO 5 VOLVO VM 8PK1750</t>
  </si>
  <si>
    <t>[ WAP286 ARS7998 PEDIR ]  FILTRO DE AR CUMMINS B EURO 3 SILICONE</t>
  </si>
  <si>
    <t>[ ARL6091 ]  FILTRO DE AR GOL SAVEIRO PARATI</t>
  </si>
  <si>
    <t>[ LX13131 ARS9840 CA97 ]  FILTRO AR OM447 457 MB1634 1938 ELETRONI</t>
  </si>
  <si>
    <t>[ BJC03058N BDJ9016 ]  BANDEJA DIANT LD STRADA PALIO 2001 EM DIANTE</t>
  </si>
  <si>
    <t>PERFECT</t>
  </si>
  <si>
    <t>[ ACP312 CU26021 LA816 ]  FILTRO AR CONDICIONADO VW POLO TCROSS VIRTUS E GOLF COMFORTLINE 2016/2018</t>
  </si>
  <si>
    <t>[ RCPT13680 PFC040035  ]  PASTILHA FREIO DIANT GM ONIX COBALT PRISMA</t>
  </si>
  <si>
    <t>VARGAS/TRW</t>
  </si>
  <si>
    <t>[ 1457432284 ARS1189 C ]  FILTRO AR SCANIA 124 114 SE4 1998 EM DIANTE</t>
  </si>
  <si>
    <t>BOSCH</t>
  </si>
  <si>
    <t>[ PD771 P771 SYL2312 N ]  PASTILHA FREIO DIAN L200 TRITO 2008..</t>
  </si>
  <si>
    <t>[ ARS9847 C37480 HD984 ]  FILTRO AR VW DELIVERY EXPRESS EURO V 2021</t>
  </si>
  <si>
    <t>[ 75305 ]  JUNTA TAMPA VALVULA FIAT PALIO UNO FIORINO EVO 1.4</t>
  </si>
  <si>
    <t>[ PSL615 WO133 W7030 O ]  FILTRO LUBRIFICANTE TORO 2016/ CAPTIVA 2008/2012 CRUZE 1.6 2016/ S10 2015/ JEEP COMPASS</t>
  </si>
  <si>
    <t>[ LB612 W70561 PSL612 ]  FILTRO OLEO GM ONIX 1.0 TURBO 3CIL</t>
  </si>
  <si>
    <t>VOX</t>
  </si>
  <si>
    <t>[  552001 UB0981 15461 ]  BOMBA AGUA SCANIA 124 2005 EM DIANTE</t>
  </si>
  <si>
    <t>INDISA</t>
  </si>
  <si>
    <t>[ VT6303087 1545904 19 ]  VALVULA TERMOSTATICA SCANIA G400 2012 G400 2013 2014 2015</t>
  </si>
  <si>
    <t>MTE</t>
  </si>
  <si>
    <t>[ MB1060 MR992326 ]  KIT COXIM AMORTECEDOR DIANT L200 TRITON PAJERO</t>
  </si>
  <si>
    <t>MOBENSANI</t>
  </si>
  <si>
    <t>[ PSL818 LF3996 ]  FILTRO OLEO CERATO ELANTRA HBO20 IX35</t>
  </si>
  <si>
    <t>[ 42503 AA314  8163279 ]  CATRACA FREIO AUTOMATICA TRAS LE 28E CARGO VOLKS VOLVO</t>
  </si>
  <si>
    <t>[ RES2006W ]  FILTRO SEPARADOR AGUA MB ACTROS ACELLO EURO 6</t>
  </si>
  <si>
    <t>[ F000KE0P07 BKR6ED ]  VELA IGNICAO FIAT PALIO DOBLO FIORINO PUNTO</t>
  </si>
  <si>
    <t>[ 5345ATE C3350 RCCR00 ]  CILINDRO RODA TRAS VW GOL G2 G3 G4 VOYAGE PASSAT</t>
  </si>
  <si>
    <t>ATE</t>
  </si>
  <si>
    <t>[ 758504 20228I 900004 ]  BOMBA AGUA STRALIS 380 420 08... TRAKER</t>
  </si>
  <si>
    <t>[ WOEC002 ]  FILTRO OLEO CAMBIO REFIL SCANIA R440 R480 R560</t>
  </si>
  <si>
    <t>[ C26550 P958974 23416 ]  FILTRO AR SCANIA NTG 2019 EM DIANTE</t>
  </si>
  <si>
    <t>[ A3C1064540002 ]  BOBINA FITA DIAGRAMA TACOGRAFO BVDR 2.0</t>
  </si>
  <si>
    <t>VDO</t>
  </si>
  <si>
    <t>[ MB4522 R37315 8393SA ]  COXIM CAMBIO FIAT TORO JEEP RENAGADE</t>
  </si>
  <si>
    <t>[ 8PK2160 ]  CORREIA GIR ALT BA VW 25370 CONSTELATION 8PK2163</t>
  </si>
  <si>
    <t>[ HX434D WFC978 FCA154 ]  FILTRO CAMBIO AUTOMATICO FORD RANGER 2.2 16V 3.2 20V</t>
  </si>
  <si>
    <t>[ HL5 WFC920 FCA1580 F ]  FILTRO CAMBIO AUTOMATICO HONDA ACCORD CIVIC FIT CRV</t>
  </si>
  <si>
    <t>[ NBJ4015D ALB4015D ]  BANDEJA SUSPENSAO LD FIAT TORO 4X4 2018</t>
  </si>
  <si>
    <t>IMA</t>
  </si>
  <si>
    <t>[ NBJ4015E ALB4015E ]  BANDEJA SUSPENSAO LE FIAT TORO 4X4 2018</t>
  </si>
  <si>
    <t>[ MB4440 1099SAMPEL KX ]  COXIM MOTOR LD FIAT PALIO SIENA GRAND SIENA UNO</t>
  </si>
  <si>
    <t>[ 2804SAMPEL ]  COXIM INF CAMBIO FORD KA ECOSPORT</t>
  </si>
  <si>
    <t>SAMPEL</t>
  </si>
  <si>
    <t>[ MB2285 2777SAMPEL ]  BUCHA BALANCA INFERIOR DIANT FORD RANGER 2022</t>
  </si>
  <si>
    <t>[ BTC01106 BLS4368 N10 ]  BIELETA DIANT VW VIRTUS 1.6 MSI FOX POLO</t>
  </si>
  <si>
    <t>[ HF81B BD5650 ]  DISCO FREIO DIANTEIRO VW POLO VIRTUS 1.6 MSI</t>
  </si>
  <si>
    <t>FREMAX</t>
  </si>
  <si>
    <t>Marca (Se for Marca Específica)</t>
  </si>
  <si>
    <t>QTD</t>
  </si>
  <si>
    <t>Descrição  LBDIESEL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</si>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</sst>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1" xfId="0" quotePrefix="1" applyBorder="1"/>
    <xf numFmtId="164" fontId="3" fillId="0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1" applyFont="1"/>
    <xf numFmtId="164" fontId="5" fillId="0" borderId="0" xfId="1" applyFont="1" applyFill="1"/>
    <xf numFmtId="0" fontId="2" fillId="0" borderId="1" xfId="0" applyFont="1" applyBorder="1"/>
    <xf numFmtId="0" fontId="2" fillId="0" borderId="0" xfId="0" applyFont="1"/>
    <xf numFmtId="164" fontId="7" fillId="0" borderId="0" xfId="1" applyFont="1" applyFill="1" applyAlignment="1">
      <alignment horizontal="center"/>
    </xf>
    <xf numFmtId="164" fontId="8" fillId="0" borderId="0" xfId="1" applyFont="1"/>
    <xf numFmtId="0" fontId="2" fillId="0" borderId="1" xfId="0" quotePrefix="1" applyFont="1" applyBorder="1"/>
    <xf numFmtId="0" fontId="9" fillId="0" borderId="0" xfId="0" applyFont="1" applyAlignment="1">
      <alignment horizontal="center"/>
    </xf>
    <xf numFmtId="0" fontId="2" fillId="2" borderId="1" xfId="0" applyFont="1" applyFill="1" applyBorder="1"/>
    <xf numFmtId="0" fontId="10" fillId="0" borderId="1" xfId="0" applyFont="1" applyBorder="1"/>
    <xf numFmtId="0" fontId="6" fillId="0" borderId="1" xfId="0" quotePrefix="1" applyFont="1" applyBorder="1"/>
    <xf numFmtId="0" fontId="6" fillId="0" borderId="1" xfId="0" applyFont="1" applyBorder="1"/>
    <xf numFmtId="164" fontId="9" fillId="0" borderId="0" xfId="1" applyFont="1" applyFill="1" applyAlignment="1">
      <alignment horizontal="center"/>
    </xf>
    <xf numFmtId="164" fontId="9" fillId="0" borderId="0" xfId="1" applyFont="1"/>
    <xf numFmtId="0" fontId="6" fillId="0" borderId="0" xfId="0" applyFont="1"/>
    <xf numFmtId="0" fontId="10" fillId="0" borderId="1" xfId="0" quotePrefix="1" applyFont="1" applyBorder="1"/>
    <xf numFmtId="0" fontId="10" fillId="0" borderId="0" xfId="0" applyFont="1"/>
    <xf numFmtId="0" fontId="6" fillId="2" borderId="1" xfId="0" applyFont="1" applyFill="1" applyBorder="1"/>
    <xf numFmtId="0" fontId="10" fillId="2" borderId="1" xfId="0" applyFont="1" applyFill="1" applyBorder="1"/>
    <xf numFmtId="0" fontId="6" fillId="2" borderId="1" xfId="0" quotePrefix="1" applyFont="1" applyFill="1" applyBorder="1"/>
    <xf numFmtId="164" fontId="9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9" fillId="2" borderId="0" xfId="1" applyFont="1" applyFill="1"/>
    <xf numFmtId="0" fontId="6" fillId="2" borderId="0" xfId="0" applyFont="1" applyFill="1"/>
    <xf numFmtId="0" fontId="2" fillId="2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zoomScale="80" zoomScaleNormal="80" workbookViewId="0"/>
  </sheetViews>
  <sheetFormatPr defaultRowHeight="14.4" x14ac:dyDescent="0.3"/>
  <cols>
    <col min="1" max="1" width="10.88671875" style="8" bestFit="1" customWidth="1"/>
    <col min="2" max="2" width="107.33203125" customWidth="1"/>
    <col min="3" max="3" width="11.5546875" customWidth="1"/>
    <col min="4" max="4" width="5.33203125" customWidth="1"/>
    <col min="5" max="5" width="0.109375" customWidth="1"/>
    <col min="6" max="6" width="6" hidden="1" customWidth="1"/>
    <col min="7" max="7" width="10" hidden="1" customWidth="1"/>
  </cols>
  <sheetData>
    <row r="1" spans="1:7" s="29" customFormat="1" x14ac:dyDescent="0.3">
      <c r="A1" s="13" t="s">
        <v>106</v>
      </c>
      <c r="B1" s="13" t="s">
        <v>105</v>
      </c>
      <c r="C1" s="13" t="s">
        <v>103</v>
      </c>
      <c r="D1" s="13" t="s">
        <v>104</v>
      </c>
    </row>
    <row r="2" spans="1:7" ht="17.25" customHeight="1" x14ac:dyDescent="0.3">
      <c r="A2" s="7">
        <v>15320</v>
      </c>
      <c r="B2" s="2" t="s">
        <v>0</v>
      </c>
      <c r="C2" s="2" t="s">
        <v>1</v>
      </c>
      <c r="D2" s="1">
        <v>1</v>
      </c>
      <c r="E2" s="3">
        <v>18.32</v>
      </c>
      <c r="F2" s="4">
        <v>0.04</v>
      </c>
      <c r="G2" s="5">
        <f t="shared" ref="G2:G53" si="0">(E2*F2)-E2</f>
        <v>-17.587199999999999</v>
      </c>
    </row>
    <row r="3" spans="1:7" s="8" customFormat="1" x14ac:dyDescent="0.3">
      <c r="A3" s="7">
        <v>17835</v>
      </c>
      <c r="B3" s="11" t="s">
        <v>2</v>
      </c>
      <c r="C3" s="11" t="s">
        <v>3</v>
      </c>
      <c r="D3" s="7">
        <v>2</v>
      </c>
      <c r="E3" s="3"/>
      <c r="F3" s="12">
        <v>0.107</v>
      </c>
      <c r="G3" s="5">
        <f t="shared" si="0"/>
        <v>0</v>
      </c>
    </row>
    <row r="4" spans="1:7" x14ac:dyDescent="0.3">
      <c r="A4" s="7">
        <v>30750</v>
      </c>
      <c r="B4" s="2" t="s">
        <v>4</v>
      </c>
      <c r="C4" s="2" t="s">
        <v>5</v>
      </c>
      <c r="D4" s="1">
        <v>1</v>
      </c>
      <c r="E4" s="3">
        <v>50.05</v>
      </c>
      <c r="F4" s="4">
        <v>0.04</v>
      </c>
      <c r="G4" s="5">
        <f t="shared" si="0"/>
        <v>-48.047999999999995</v>
      </c>
    </row>
    <row r="5" spans="1:7" x14ac:dyDescent="0.3">
      <c r="A5" s="7">
        <v>100529</v>
      </c>
      <c r="B5" s="2" t="s">
        <v>6</v>
      </c>
      <c r="C5" s="2" t="s">
        <v>7</v>
      </c>
      <c r="D5" s="1">
        <v>1</v>
      </c>
      <c r="E5" s="3"/>
      <c r="F5" s="4">
        <v>0.107</v>
      </c>
      <c r="G5" s="5">
        <f t="shared" si="0"/>
        <v>0</v>
      </c>
    </row>
    <row r="6" spans="1:7" x14ac:dyDescent="0.3">
      <c r="A6" s="7">
        <v>103700</v>
      </c>
      <c r="B6" s="2" t="s">
        <v>8</v>
      </c>
      <c r="C6" s="2" t="s">
        <v>7</v>
      </c>
      <c r="D6" s="1">
        <v>1</v>
      </c>
      <c r="E6" s="3"/>
      <c r="F6" s="4">
        <v>0.107</v>
      </c>
      <c r="G6" s="5">
        <f t="shared" si="0"/>
        <v>0</v>
      </c>
    </row>
    <row r="7" spans="1:7" s="8" customFormat="1" x14ac:dyDescent="0.3">
      <c r="A7" s="7">
        <v>107526</v>
      </c>
      <c r="B7" s="11" t="s">
        <v>9</v>
      </c>
      <c r="C7" s="11" t="s">
        <v>10</v>
      </c>
      <c r="D7" s="7">
        <v>1</v>
      </c>
      <c r="E7" s="3"/>
      <c r="F7" s="12">
        <v>0.107</v>
      </c>
      <c r="G7" s="5">
        <f t="shared" si="0"/>
        <v>0</v>
      </c>
    </row>
    <row r="8" spans="1:7" x14ac:dyDescent="0.3">
      <c r="A8" s="7">
        <v>112167</v>
      </c>
      <c r="B8" s="2" t="s">
        <v>11</v>
      </c>
      <c r="C8" s="2" t="s">
        <v>1</v>
      </c>
      <c r="D8" s="1">
        <v>2</v>
      </c>
      <c r="E8" s="3"/>
      <c r="F8" s="4">
        <v>0.107</v>
      </c>
      <c r="G8" s="5">
        <f t="shared" si="0"/>
        <v>0</v>
      </c>
    </row>
    <row r="9" spans="1:7" s="8" customFormat="1" x14ac:dyDescent="0.3">
      <c r="A9" s="7">
        <v>115682</v>
      </c>
      <c r="B9" s="11" t="s">
        <v>12</v>
      </c>
      <c r="C9" s="11" t="s">
        <v>13</v>
      </c>
      <c r="D9" s="7">
        <v>2</v>
      </c>
      <c r="E9" s="3">
        <v>46.14</v>
      </c>
      <c r="F9" s="12">
        <v>0.107</v>
      </c>
      <c r="G9" s="5">
        <f t="shared" si="0"/>
        <v>-41.203020000000002</v>
      </c>
    </row>
    <row r="10" spans="1:7" x14ac:dyDescent="0.3">
      <c r="A10" s="7">
        <v>115781</v>
      </c>
      <c r="B10" s="2" t="s">
        <v>14</v>
      </c>
      <c r="C10" s="2" t="s">
        <v>15</v>
      </c>
      <c r="D10" s="1">
        <v>12</v>
      </c>
      <c r="E10" s="3">
        <v>66.97</v>
      </c>
      <c r="F10" s="4">
        <v>0.107</v>
      </c>
      <c r="G10" s="5">
        <f t="shared" si="0"/>
        <v>-59.804209999999998</v>
      </c>
    </row>
    <row r="11" spans="1:7" s="19" customFormat="1" x14ac:dyDescent="0.3">
      <c r="A11" s="14">
        <v>115795</v>
      </c>
      <c r="B11" s="15" t="s">
        <v>16</v>
      </c>
      <c r="C11" s="15" t="s">
        <v>17</v>
      </c>
      <c r="D11" s="16">
        <v>8</v>
      </c>
      <c r="E11" s="17">
        <v>121.65</v>
      </c>
      <c r="F11" s="4">
        <v>0.04</v>
      </c>
      <c r="G11" s="18">
        <f t="shared" si="0"/>
        <v>-116.78400000000001</v>
      </c>
    </row>
    <row r="12" spans="1:7" x14ac:dyDescent="0.3">
      <c r="A12" s="7">
        <v>116289</v>
      </c>
      <c r="B12" s="2" t="s">
        <v>18</v>
      </c>
      <c r="C12" s="2" t="s">
        <v>19</v>
      </c>
      <c r="D12" s="1">
        <v>2</v>
      </c>
      <c r="E12" s="3">
        <v>131.1</v>
      </c>
      <c r="F12" s="4">
        <v>0.107</v>
      </c>
      <c r="G12" s="5">
        <f t="shared" si="0"/>
        <v>-117.0723</v>
      </c>
    </row>
    <row r="13" spans="1:7" x14ac:dyDescent="0.3">
      <c r="A13" s="7">
        <v>116441</v>
      </c>
      <c r="B13" s="2" t="s">
        <v>20</v>
      </c>
      <c r="C13" s="2" t="s">
        <v>3</v>
      </c>
      <c r="D13" s="1">
        <v>2</v>
      </c>
      <c r="E13" s="3"/>
      <c r="F13" s="4">
        <v>0.107</v>
      </c>
      <c r="G13" s="5">
        <f t="shared" si="0"/>
        <v>0</v>
      </c>
    </row>
    <row r="14" spans="1:7" s="19" customFormat="1" x14ac:dyDescent="0.3">
      <c r="A14" s="14">
        <v>116702</v>
      </c>
      <c r="B14" s="15" t="s">
        <v>21</v>
      </c>
      <c r="C14" s="15" t="s">
        <v>22</v>
      </c>
      <c r="D14" s="16">
        <v>1</v>
      </c>
      <c r="E14" s="17"/>
      <c r="F14" s="4">
        <v>0.107</v>
      </c>
      <c r="G14" s="18">
        <f t="shared" si="0"/>
        <v>0</v>
      </c>
    </row>
    <row r="15" spans="1:7" x14ac:dyDescent="0.3">
      <c r="A15" s="1">
        <v>116955</v>
      </c>
      <c r="B15" s="2" t="s">
        <v>23</v>
      </c>
      <c r="C15" s="2" t="s">
        <v>24</v>
      </c>
      <c r="D15" s="1">
        <v>1</v>
      </c>
      <c r="E15" s="9"/>
      <c r="F15" s="4">
        <v>0.107</v>
      </c>
      <c r="G15" s="10">
        <f t="shared" si="0"/>
        <v>0</v>
      </c>
    </row>
    <row r="16" spans="1:7" s="8" customFormat="1" x14ac:dyDescent="0.3">
      <c r="A16" s="7">
        <v>117086</v>
      </c>
      <c r="B16" s="11" t="s">
        <v>25</v>
      </c>
      <c r="C16" s="11" t="s">
        <v>24</v>
      </c>
      <c r="D16" s="7">
        <v>1</v>
      </c>
      <c r="E16" s="3"/>
      <c r="F16" s="12">
        <v>0.107</v>
      </c>
      <c r="G16" s="5">
        <f t="shared" si="0"/>
        <v>0</v>
      </c>
    </row>
    <row r="17" spans="1:7" x14ac:dyDescent="0.3">
      <c r="A17" s="7">
        <v>117246</v>
      </c>
      <c r="B17" s="2" t="s">
        <v>26</v>
      </c>
      <c r="C17" s="2" t="s">
        <v>15</v>
      </c>
      <c r="D17" s="1">
        <v>2</v>
      </c>
      <c r="E17" s="3">
        <v>259.39</v>
      </c>
      <c r="F17" s="4">
        <v>0.107</v>
      </c>
      <c r="G17" s="5">
        <f t="shared" si="0"/>
        <v>-231.63526999999999</v>
      </c>
    </row>
    <row r="18" spans="1:7" x14ac:dyDescent="0.3">
      <c r="A18" s="7">
        <v>117511</v>
      </c>
      <c r="B18" s="2" t="s">
        <v>27</v>
      </c>
      <c r="C18" s="2" t="s">
        <v>1</v>
      </c>
      <c r="D18" s="1">
        <v>2</v>
      </c>
      <c r="E18" s="3">
        <v>63.49</v>
      </c>
      <c r="F18" s="4">
        <v>0.107</v>
      </c>
      <c r="G18" s="5">
        <f t="shared" si="0"/>
        <v>-56.696570000000001</v>
      </c>
    </row>
    <row r="19" spans="1:7" x14ac:dyDescent="0.3">
      <c r="A19" s="7">
        <v>119175</v>
      </c>
      <c r="B19" s="2" t="s">
        <v>28</v>
      </c>
      <c r="C19" s="2" t="s">
        <v>15</v>
      </c>
      <c r="D19" s="1">
        <v>2</v>
      </c>
      <c r="E19" s="3">
        <v>90.5</v>
      </c>
      <c r="F19" s="4">
        <v>0.107</v>
      </c>
      <c r="G19" s="5">
        <f t="shared" si="0"/>
        <v>-80.816500000000005</v>
      </c>
    </row>
    <row r="20" spans="1:7" x14ac:dyDescent="0.3">
      <c r="A20" s="7">
        <v>119942</v>
      </c>
      <c r="B20" s="2" t="s">
        <v>29</v>
      </c>
      <c r="C20" s="2" t="s">
        <v>30</v>
      </c>
      <c r="D20" s="1">
        <v>6</v>
      </c>
      <c r="E20" s="3"/>
      <c r="F20" s="4">
        <v>0.107</v>
      </c>
      <c r="G20" s="5">
        <f t="shared" si="0"/>
        <v>0</v>
      </c>
    </row>
    <row r="21" spans="1:7" s="8" customFormat="1" x14ac:dyDescent="0.3">
      <c r="A21" s="7">
        <v>120216</v>
      </c>
      <c r="B21" s="11" t="s">
        <v>31</v>
      </c>
      <c r="C21" s="11" t="s">
        <v>32</v>
      </c>
      <c r="D21" s="7">
        <v>10</v>
      </c>
      <c r="E21" s="3"/>
      <c r="F21" s="12">
        <v>0.107</v>
      </c>
      <c r="G21" s="5">
        <f t="shared" si="0"/>
        <v>0</v>
      </c>
    </row>
    <row r="22" spans="1:7" s="8" customFormat="1" x14ac:dyDescent="0.3">
      <c r="A22" s="7">
        <v>130105</v>
      </c>
      <c r="B22" s="11" t="s">
        <v>33</v>
      </c>
      <c r="C22" s="11" t="s">
        <v>34</v>
      </c>
      <c r="D22" s="7">
        <v>1</v>
      </c>
      <c r="E22" s="3">
        <v>183.89</v>
      </c>
      <c r="F22" s="12">
        <v>0.107</v>
      </c>
      <c r="G22" s="5">
        <f t="shared" si="0"/>
        <v>-164.21376999999998</v>
      </c>
    </row>
    <row r="23" spans="1:7" x14ac:dyDescent="0.3">
      <c r="A23" s="7">
        <v>130705</v>
      </c>
      <c r="B23" s="2" t="s">
        <v>35</v>
      </c>
      <c r="C23" s="2" t="s">
        <v>36</v>
      </c>
      <c r="D23" s="1">
        <v>2</v>
      </c>
      <c r="E23" s="3">
        <v>96.79</v>
      </c>
      <c r="F23" s="4">
        <v>0.04</v>
      </c>
      <c r="G23" s="5">
        <f t="shared" si="0"/>
        <v>-92.918400000000005</v>
      </c>
    </row>
    <row r="24" spans="1:7" s="21" customFormat="1" x14ac:dyDescent="0.3">
      <c r="A24" s="14">
        <v>130891</v>
      </c>
      <c r="B24" s="20" t="s">
        <v>37</v>
      </c>
      <c r="C24" s="20" t="s">
        <v>38</v>
      </c>
      <c r="D24" s="14">
        <v>1</v>
      </c>
      <c r="E24" s="17"/>
      <c r="F24" s="12">
        <v>0.107</v>
      </c>
      <c r="G24" s="18">
        <f t="shared" si="0"/>
        <v>0</v>
      </c>
    </row>
    <row r="25" spans="1:7" x14ac:dyDescent="0.3">
      <c r="A25" s="7">
        <v>133922</v>
      </c>
      <c r="B25" s="2" t="s">
        <v>39</v>
      </c>
      <c r="C25" s="2" t="s">
        <v>40</v>
      </c>
      <c r="D25" s="1">
        <v>4</v>
      </c>
      <c r="E25" s="3">
        <v>192.2</v>
      </c>
      <c r="F25" s="4">
        <v>0.04</v>
      </c>
      <c r="G25" s="5">
        <f t="shared" si="0"/>
        <v>-184.512</v>
      </c>
    </row>
    <row r="26" spans="1:7" x14ac:dyDescent="0.3">
      <c r="A26" s="7">
        <v>134019</v>
      </c>
      <c r="B26" s="2" t="s">
        <v>41</v>
      </c>
      <c r="C26" s="2" t="s">
        <v>42</v>
      </c>
      <c r="D26" s="1">
        <v>2</v>
      </c>
      <c r="E26" s="3">
        <v>42.73</v>
      </c>
      <c r="F26" s="4">
        <v>0.09</v>
      </c>
      <c r="G26" s="5">
        <f t="shared" si="0"/>
        <v>-38.884299999999996</v>
      </c>
    </row>
    <row r="27" spans="1:7" x14ac:dyDescent="0.3">
      <c r="A27" s="7">
        <v>134901</v>
      </c>
      <c r="B27" s="2" t="s">
        <v>43</v>
      </c>
      <c r="C27" s="2" t="s">
        <v>44</v>
      </c>
      <c r="D27" s="1">
        <v>2</v>
      </c>
      <c r="E27" s="3">
        <v>164.8</v>
      </c>
      <c r="F27" s="4">
        <v>0.107</v>
      </c>
      <c r="G27" s="5">
        <f t="shared" si="0"/>
        <v>-147.16640000000001</v>
      </c>
    </row>
    <row r="28" spans="1:7" s="19" customFormat="1" x14ac:dyDescent="0.3">
      <c r="A28" s="14">
        <v>135909</v>
      </c>
      <c r="B28" s="15" t="s">
        <v>45</v>
      </c>
      <c r="C28" s="15" t="s">
        <v>5</v>
      </c>
      <c r="D28" s="16">
        <v>7</v>
      </c>
      <c r="E28" s="17">
        <v>33.58</v>
      </c>
      <c r="F28" s="4">
        <v>0.107</v>
      </c>
      <c r="G28" s="18">
        <f t="shared" si="0"/>
        <v>-29.986939999999997</v>
      </c>
    </row>
    <row r="29" spans="1:7" x14ac:dyDescent="0.3">
      <c r="A29" s="7">
        <v>137695</v>
      </c>
      <c r="B29" s="2" t="s">
        <v>46</v>
      </c>
      <c r="C29" s="2" t="s">
        <v>47</v>
      </c>
      <c r="D29" s="1">
        <v>4</v>
      </c>
      <c r="E29" s="3">
        <v>16.25</v>
      </c>
      <c r="F29" s="4">
        <v>0.04</v>
      </c>
      <c r="G29" s="5">
        <f t="shared" si="0"/>
        <v>-15.6</v>
      </c>
    </row>
    <row r="30" spans="1:7" x14ac:dyDescent="0.3">
      <c r="A30" s="7">
        <v>138343</v>
      </c>
      <c r="B30" s="2" t="s">
        <v>48</v>
      </c>
      <c r="C30" s="2" t="s">
        <v>49</v>
      </c>
      <c r="D30" s="1">
        <v>5</v>
      </c>
      <c r="E30" s="3"/>
      <c r="F30" s="4">
        <v>0.04</v>
      </c>
      <c r="G30" s="5">
        <f t="shared" si="0"/>
        <v>0</v>
      </c>
    </row>
    <row r="31" spans="1:7" x14ac:dyDescent="0.3">
      <c r="A31" s="7">
        <v>141156</v>
      </c>
      <c r="B31" s="2" t="s">
        <v>50</v>
      </c>
      <c r="C31" s="2" t="s">
        <v>51</v>
      </c>
      <c r="D31" s="1">
        <v>2</v>
      </c>
      <c r="E31" s="3">
        <v>38.89</v>
      </c>
      <c r="F31" s="4">
        <v>0.04</v>
      </c>
      <c r="G31" s="5">
        <f t="shared" si="0"/>
        <v>-37.334400000000002</v>
      </c>
    </row>
    <row r="32" spans="1:7" x14ac:dyDescent="0.3">
      <c r="A32" s="7">
        <v>141900</v>
      </c>
      <c r="B32" s="2" t="s">
        <v>52</v>
      </c>
      <c r="C32" s="2" t="s">
        <v>53</v>
      </c>
      <c r="D32" s="1">
        <v>2</v>
      </c>
      <c r="E32" s="3">
        <v>479.95</v>
      </c>
      <c r="F32" s="4">
        <v>0.107</v>
      </c>
      <c r="G32" s="5">
        <f t="shared" si="0"/>
        <v>-428.59535</v>
      </c>
    </row>
    <row r="33" spans="1:7" x14ac:dyDescent="0.3">
      <c r="A33" s="7">
        <v>142624</v>
      </c>
      <c r="B33" s="2" t="s">
        <v>54</v>
      </c>
      <c r="C33" s="2" t="s">
        <v>15</v>
      </c>
      <c r="D33" s="1">
        <v>10</v>
      </c>
      <c r="E33" s="3">
        <v>7.05</v>
      </c>
      <c r="F33" s="4">
        <v>0.04</v>
      </c>
      <c r="G33" s="5">
        <f t="shared" si="0"/>
        <v>-6.7679999999999998</v>
      </c>
    </row>
    <row r="34" spans="1:7" x14ac:dyDescent="0.3">
      <c r="A34" s="7">
        <v>146632</v>
      </c>
      <c r="B34" s="2" t="s">
        <v>55</v>
      </c>
      <c r="C34" s="2" t="s">
        <v>49</v>
      </c>
      <c r="D34" s="1">
        <v>1</v>
      </c>
      <c r="E34" s="3">
        <v>64.97</v>
      </c>
      <c r="F34" s="4">
        <v>0.04</v>
      </c>
      <c r="G34" s="5">
        <f t="shared" si="0"/>
        <v>-62.371200000000002</v>
      </c>
    </row>
    <row r="35" spans="1:7" s="8" customFormat="1" ht="13.95" customHeight="1" x14ac:dyDescent="0.3">
      <c r="A35" s="7">
        <v>147830</v>
      </c>
      <c r="B35" s="11" t="s">
        <v>56</v>
      </c>
      <c r="C35" s="11" t="s">
        <v>5</v>
      </c>
      <c r="D35" s="7">
        <v>4</v>
      </c>
      <c r="E35" s="3">
        <v>70.27</v>
      </c>
      <c r="F35" s="12">
        <v>0.107</v>
      </c>
      <c r="G35" s="5">
        <f t="shared" si="0"/>
        <v>-62.751109999999997</v>
      </c>
    </row>
    <row r="36" spans="1:7" x14ac:dyDescent="0.3">
      <c r="A36" s="7">
        <v>148068</v>
      </c>
      <c r="B36" s="2" t="s">
        <v>57</v>
      </c>
      <c r="C36" s="2" t="s">
        <v>1</v>
      </c>
      <c r="D36" s="1">
        <v>1</v>
      </c>
      <c r="E36" s="3"/>
      <c r="F36" s="4">
        <v>0.107</v>
      </c>
      <c r="G36" s="5">
        <f t="shared" si="0"/>
        <v>0</v>
      </c>
    </row>
    <row r="37" spans="1:7" x14ac:dyDescent="0.3">
      <c r="A37" s="7">
        <v>151704</v>
      </c>
      <c r="B37" s="2" t="s">
        <v>58</v>
      </c>
      <c r="C37" s="2" t="s">
        <v>1</v>
      </c>
      <c r="D37" s="1">
        <v>2</v>
      </c>
      <c r="E37" s="3"/>
      <c r="F37" s="4">
        <v>0.107</v>
      </c>
      <c r="G37" s="5">
        <f t="shared" si="0"/>
        <v>0</v>
      </c>
    </row>
    <row r="38" spans="1:7" s="19" customFormat="1" x14ac:dyDescent="0.3">
      <c r="A38" s="14">
        <v>156565</v>
      </c>
      <c r="B38" s="15" t="s">
        <v>59</v>
      </c>
      <c r="C38" s="15" t="s">
        <v>60</v>
      </c>
      <c r="D38" s="16">
        <v>1</v>
      </c>
      <c r="E38" s="17">
        <v>157.05000000000001</v>
      </c>
      <c r="F38" s="4">
        <v>0.107</v>
      </c>
      <c r="G38" s="18">
        <f t="shared" si="0"/>
        <v>-140.24565000000001</v>
      </c>
    </row>
    <row r="39" spans="1:7" x14ac:dyDescent="0.3">
      <c r="A39" s="7">
        <v>160244</v>
      </c>
      <c r="B39" s="2" t="s">
        <v>61</v>
      </c>
      <c r="C39" s="2" t="s">
        <v>5</v>
      </c>
      <c r="D39" s="1">
        <v>3</v>
      </c>
      <c r="E39" s="3">
        <v>14.93</v>
      </c>
      <c r="F39" s="4">
        <v>0.04</v>
      </c>
      <c r="G39" s="5">
        <f t="shared" si="0"/>
        <v>-14.332799999999999</v>
      </c>
    </row>
    <row r="40" spans="1:7" x14ac:dyDescent="0.3">
      <c r="A40" s="7">
        <v>160297</v>
      </c>
      <c r="B40" s="2" t="s">
        <v>62</v>
      </c>
      <c r="C40" s="2" t="s">
        <v>63</v>
      </c>
      <c r="D40" s="1">
        <v>2</v>
      </c>
      <c r="E40" s="3">
        <v>43.28</v>
      </c>
      <c r="F40" s="4">
        <v>0.04</v>
      </c>
      <c r="G40" s="5">
        <f t="shared" si="0"/>
        <v>-41.5488</v>
      </c>
    </row>
    <row r="41" spans="1:7" x14ac:dyDescent="0.3">
      <c r="A41" s="7">
        <v>162537</v>
      </c>
      <c r="B41" s="2" t="s">
        <v>64</v>
      </c>
      <c r="C41" s="2" t="s">
        <v>65</v>
      </c>
      <c r="D41" s="1">
        <v>1</v>
      </c>
      <c r="E41" s="3"/>
      <c r="F41" s="4">
        <v>0.107</v>
      </c>
      <c r="G41" s="5">
        <f t="shared" si="0"/>
        <v>0</v>
      </c>
    </row>
    <row r="42" spans="1:7" x14ac:dyDescent="0.3">
      <c r="A42" s="7">
        <v>163926</v>
      </c>
      <c r="B42" s="2" t="s">
        <v>66</v>
      </c>
      <c r="C42" s="2" t="s">
        <v>42</v>
      </c>
      <c r="D42" s="1">
        <v>3</v>
      </c>
      <c r="E42" s="3">
        <v>95.37</v>
      </c>
      <c r="F42" s="4">
        <v>0.107</v>
      </c>
      <c r="G42" s="5">
        <f t="shared" si="0"/>
        <v>-85.165410000000008</v>
      </c>
    </row>
    <row r="43" spans="1:7" x14ac:dyDescent="0.3">
      <c r="A43" s="7">
        <v>163973</v>
      </c>
      <c r="B43" s="2" t="s">
        <v>67</v>
      </c>
      <c r="C43" s="2" t="s">
        <v>15</v>
      </c>
      <c r="D43" s="1">
        <v>2</v>
      </c>
      <c r="E43" s="3">
        <v>96.47</v>
      </c>
      <c r="F43" s="4">
        <v>0.107</v>
      </c>
      <c r="G43" s="5">
        <f t="shared" si="0"/>
        <v>-86.147710000000004</v>
      </c>
    </row>
    <row r="44" spans="1:7" x14ac:dyDescent="0.3">
      <c r="A44" s="7">
        <v>164762</v>
      </c>
      <c r="B44" s="2" t="s">
        <v>68</v>
      </c>
      <c r="C44" s="2" t="s">
        <v>7</v>
      </c>
      <c r="D44" s="1">
        <v>6</v>
      </c>
      <c r="E44" s="3"/>
      <c r="F44" s="4">
        <v>0.107</v>
      </c>
      <c r="G44" s="5">
        <f t="shared" si="0"/>
        <v>0</v>
      </c>
    </row>
    <row r="45" spans="1:7" x14ac:dyDescent="0.3">
      <c r="A45" s="7">
        <v>165361</v>
      </c>
      <c r="B45" s="2" t="s">
        <v>69</v>
      </c>
      <c r="C45" s="2" t="s">
        <v>5</v>
      </c>
      <c r="D45" s="1">
        <v>2</v>
      </c>
      <c r="E45" s="3">
        <v>17.07</v>
      </c>
      <c r="F45" s="4">
        <v>0.107</v>
      </c>
      <c r="G45" s="5">
        <f t="shared" si="0"/>
        <v>-15.243510000000001</v>
      </c>
    </row>
    <row r="46" spans="1:7" x14ac:dyDescent="0.3">
      <c r="A46" s="7">
        <v>165579</v>
      </c>
      <c r="B46" s="2" t="s">
        <v>70</v>
      </c>
      <c r="C46" s="2" t="s">
        <v>71</v>
      </c>
      <c r="D46" s="1">
        <v>2</v>
      </c>
      <c r="E46" s="3"/>
      <c r="F46" s="4">
        <v>0.107</v>
      </c>
      <c r="G46" s="5">
        <f t="shared" si="0"/>
        <v>0</v>
      </c>
    </row>
    <row r="47" spans="1:7" x14ac:dyDescent="0.3">
      <c r="A47" s="7">
        <v>174234</v>
      </c>
      <c r="B47" s="2" t="s">
        <v>72</v>
      </c>
      <c r="C47" s="2" t="s">
        <v>73</v>
      </c>
      <c r="D47" s="1">
        <v>1</v>
      </c>
      <c r="E47" s="3"/>
      <c r="F47" s="4">
        <v>0.107</v>
      </c>
      <c r="G47" s="5">
        <f t="shared" si="0"/>
        <v>0</v>
      </c>
    </row>
    <row r="48" spans="1:7" s="21" customFormat="1" x14ac:dyDescent="0.3">
      <c r="A48" s="14">
        <v>179248</v>
      </c>
      <c r="B48" s="20" t="s">
        <v>74</v>
      </c>
      <c r="C48" s="20" t="s">
        <v>75</v>
      </c>
      <c r="D48" s="14">
        <v>1</v>
      </c>
      <c r="E48" s="17"/>
      <c r="F48" s="12">
        <v>0.107</v>
      </c>
      <c r="G48" s="18">
        <f t="shared" si="0"/>
        <v>0</v>
      </c>
    </row>
    <row r="49" spans="1:7" s="8" customFormat="1" x14ac:dyDescent="0.3">
      <c r="A49" s="7">
        <v>181801</v>
      </c>
      <c r="B49" s="11" t="s">
        <v>76</v>
      </c>
      <c r="C49" s="11" t="s">
        <v>77</v>
      </c>
      <c r="D49" s="7">
        <v>1</v>
      </c>
      <c r="E49" s="3">
        <v>131.66999999999999</v>
      </c>
      <c r="F49" s="12">
        <v>0.04</v>
      </c>
      <c r="G49" s="6">
        <f t="shared" si="0"/>
        <v>-126.40319999999998</v>
      </c>
    </row>
    <row r="50" spans="1:7" x14ac:dyDescent="0.3">
      <c r="A50" s="7">
        <v>181889</v>
      </c>
      <c r="B50" s="2" t="s">
        <v>78</v>
      </c>
      <c r="C50" s="2" t="s">
        <v>1</v>
      </c>
      <c r="D50" s="1">
        <v>4</v>
      </c>
      <c r="E50" s="3">
        <v>16.09</v>
      </c>
      <c r="F50" s="4">
        <v>0.04</v>
      </c>
      <c r="G50" s="5">
        <f t="shared" si="0"/>
        <v>-15.446400000000001</v>
      </c>
    </row>
    <row r="51" spans="1:7" s="8" customFormat="1" x14ac:dyDescent="0.3">
      <c r="A51" s="7">
        <v>184788</v>
      </c>
      <c r="B51" s="11" t="s">
        <v>79</v>
      </c>
      <c r="C51" s="11" t="s">
        <v>19</v>
      </c>
      <c r="D51" s="7">
        <v>2</v>
      </c>
      <c r="E51" s="3">
        <v>292.91000000000003</v>
      </c>
      <c r="F51" s="12">
        <v>0.107</v>
      </c>
      <c r="G51" s="5">
        <f t="shared" si="0"/>
        <v>-261.56863000000004</v>
      </c>
    </row>
    <row r="52" spans="1:7" x14ac:dyDescent="0.3">
      <c r="A52" s="7">
        <v>186680</v>
      </c>
      <c r="B52" s="2" t="s">
        <v>80</v>
      </c>
      <c r="C52" s="2" t="s">
        <v>17</v>
      </c>
      <c r="D52" s="1">
        <v>2</v>
      </c>
      <c r="E52" s="3">
        <v>318.51</v>
      </c>
      <c r="F52" s="4">
        <v>0.04</v>
      </c>
      <c r="G52" s="5">
        <f t="shared" si="0"/>
        <v>-305.76959999999997</v>
      </c>
    </row>
    <row r="53" spans="1:7" x14ac:dyDescent="0.3">
      <c r="A53" s="7">
        <v>196092</v>
      </c>
      <c r="B53" s="2" t="s">
        <v>81</v>
      </c>
      <c r="C53" s="2" t="s">
        <v>65</v>
      </c>
      <c r="D53" s="1">
        <v>4</v>
      </c>
      <c r="E53" s="3"/>
      <c r="F53" s="4">
        <v>0.107</v>
      </c>
      <c r="G53" s="5">
        <f t="shared" si="0"/>
        <v>0</v>
      </c>
    </row>
    <row r="54" spans="1:7" x14ac:dyDescent="0.3">
      <c r="A54" s="7">
        <v>204506</v>
      </c>
      <c r="B54" s="2" t="s">
        <v>82</v>
      </c>
      <c r="C54" s="2" t="s">
        <v>83</v>
      </c>
      <c r="D54" s="1">
        <v>2</v>
      </c>
      <c r="E54" s="3">
        <v>18.440000000000001</v>
      </c>
      <c r="F54" s="4">
        <v>0.04</v>
      </c>
      <c r="G54" s="5">
        <f t="shared" ref="G54:G69" si="1">(E54*F54)-E54</f>
        <v>-17.702400000000001</v>
      </c>
    </row>
    <row r="55" spans="1:7" s="8" customFormat="1" x14ac:dyDescent="0.3">
      <c r="A55" s="7">
        <v>205423</v>
      </c>
      <c r="B55" s="11" t="s">
        <v>84</v>
      </c>
      <c r="C55" s="11" t="s">
        <v>73</v>
      </c>
      <c r="D55" s="7">
        <v>1</v>
      </c>
      <c r="E55" s="3"/>
      <c r="F55" s="12">
        <v>0.107</v>
      </c>
      <c r="G55" s="5">
        <f t="shared" si="1"/>
        <v>0</v>
      </c>
    </row>
    <row r="56" spans="1:7" x14ac:dyDescent="0.3">
      <c r="A56" s="7">
        <v>211601</v>
      </c>
      <c r="B56" s="2" t="s">
        <v>85</v>
      </c>
      <c r="C56" s="2" t="s">
        <v>5</v>
      </c>
      <c r="D56" s="1">
        <v>1</v>
      </c>
      <c r="E56" s="3"/>
      <c r="F56" s="4">
        <v>0.107</v>
      </c>
      <c r="G56" s="5">
        <f t="shared" si="1"/>
        <v>0</v>
      </c>
    </row>
    <row r="57" spans="1:7" x14ac:dyDescent="0.3">
      <c r="A57" s="7">
        <v>211625</v>
      </c>
      <c r="B57" s="2" t="s">
        <v>86</v>
      </c>
      <c r="C57" s="2" t="s">
        <v>15</v>
      </c>
      <c r="D57" s="1">
        <v>2</v>
      </c>
      <c r="E57" s="3">
        <v>322.75</v>
      </c>
      <c r="F57" s="4">
        <v>0.107</v>
      </c>
      <c r="G57" s="5">
        <f t="shared" si="1"/>
        <v>-288.21575000000001</v>
      </c>
    </row>
    <row r="58" spans="1:7" x14ac:dyDescent="0.3">
      <c r="A58" s="7">
        <v>213415</v>
      </c>
      <c r="B58" s="2" t="s">
        <v>87</v>
      </c>
      <c r="C58" s="2" t="s">
        <v>88</v>
      </c>
      <c r="D58" s="1">
        <v>8</v>
      </c>
      <c r="E58" s="3">
        <v>39.659999999999997</v>
      </c>
      <c r="F58" s="4">
        <v>0.107</v>
      </c>
      <c r="G58" s="5">
        <f t="shared" si="1"/>
        <v>-35.416379999999997</v>
      </c>
    </row>
    <row r="59" spans="1:7" s="8" customFormat="1" x14ac:dyDescent="0.3">
      <c r="A59" s="7">
        <v>214355</v>
      </c>
      <c r="B59" s="11" t="s">
        <v>89</v>
      </c>
      <c r="C59" s="11" t="s">
        <v>77</v>
      </c>
      <c r="D59" s="7">
        <v>2</v>
      </c>
      <c r="E59" s="3">
        <v>125.2</v>
      </c>
      <c r="F59" s="12">
        <v>0.04</v>
      </c>
      <c r="G59" s="5">
        <f t="shared" si="1"/>
        <v>-120.19200000000001</v>
      </c>
    </row>
    <row r="60" spans="1:7" x14ac:dyDescent="0.3">
      <c r="A60" s="7">
        <v>217352</v>
      </c>
      <c r="B60" s="2" t="s">
        <v>90</v>
      </c>
      <c r="C60" s="2" t="s">
        <v>49</v>
      </c>
      <c r="D60" s="1">
        <v>1</v>
      </c>
      <c r="E60" s="3"/>
      <c r="F60" s="4">
        <v>0.107</v>
      </c>
      <c r="G60" s="5">
        <f t="shared" si="1"/>
        <v>0</v>
      </c>
    </row>
    <row r="61" spans="1:7" s="28" customFormat="1" x14ac:dyDescent="0.3">
      <c r="A61" s="23">
        <v>217457</v>
      </c>
      <c r="B61" s="24" t="s">
        <v>91</v>
      </c>
      <c r="C61" s="24" t="s">
        <v>24</v>
      </c>
      <c r="D61" s="22">
        <v>1</v>
      </c>
      <c r="E61" s="25"/>
      <c r="F61" s="26">
        <v>0.107</v>
      </c>
      <c r="G61" s="27">
        <f t="shared" si="1"/>
        <v>0</v>
      </c>
    </row>
    <row r="62" spans="1:7" x14ac:dyDescent="0.3">
      <c r="A62" s="7">
        <v>218524</v>
      </c>
      <c r="B62" s="2" t="s">
        <v>92</v>
      </c>
      <c r="C62" s="2" t="s">
        <v>5</v>
      </c>
      <c r="D62" s="1">
        <v>1</v>
      </c>
      <c r="E62" s="3"/>
      <c r="F62" s="4">
        <v>0.04</v>
      </c>
      <c r="G62" s="5">
        <f t="shared" si="1"/>
        <v>0</v>
      </c>
    </row>
    <row r="63" spans="1:7" s="8" customFormat="1" x14ac:dyDescent="0.3">
      <c r="A63" s="7">
        <v>218658</v>
      </c>
      <c r="B63" s="11" t="s">
        <v>93</v>
      </c>
      <c r="C63" s="11" t="s">
        <v>94</v>
      </c>
      <c r="D63" s="7">
        <v>1</v>
      </c>
      <c r="E63" s="3">
        <v>236.09</v>
      </c>
      <c r="F63" s="12">
        <v>0.04</v>
      </c>
      <c r="G63" s="5">
        <f t="shared" si="1"/>
        <v>-226.6464</v>
      </c>
    </row>
    <row r="64" spans="1:7" s="8" customFormat="1" x14ac:dyDescent="0.3">
      <c r="A64" s="7">
        <v>218659</v>
      </c>
      <c r="B64" s="11" t="s">
        <v>95</v>
      </c>
      <c r="C64" s="11" t="s">
        <v>94</v>
      </c>
      <c r="D64" s="7">
        <v>1</v>
      </c>
      <c r="E64" s="3">
        <v>236.09</v>
      </c>
      <c r="F64" s="12">
        <v>0.04</v>
      </c>
      <c r="G64" s="5">
        <f t="shared" si="1"/>
        <v>-226.6464</v>
      </c>
    </row>
    <row r="65" spans="1:7" x14ac:dyDescent="0.3">
      <c r="A65" s="7">
        <v>219309</v>
      </c>
      <c r="B65" s="2" t="s">
        <v>96</v>
      </c>
      <c r="C65" s="2" t="s">
        <v>77</v>
      </c>
      <c r="D65" s="1">
        <v>2</v>
      </c>
      <c r="E65" s="3">
        <v>226.01</v>
      </c>
      <c r="F65" s="4">
        <v>0.04</v>
      </c>
      <c r="G65" s="5">
        <f t="shared" si="1"/>
        <v>-216.96959999999999</v>
      </c>
    </row>
    <row r="66" spans="1:7" s="8" customFormat="1" x14ac:dyDescent="0.3">
      <c r="A66" s="7">
        <v>221257</v>
      </c>
      <c r="B66" s="11" t="s">
        <v>97</v>
      </c>
      <c r="C66" s="11" t="s">
        <v>98</v>
      </c>
      <c r="D66" s="7">
        <v>1</v>
      </c>
      <c r="E66" s="3">
        <v>101.46</v>
      </c>
      <c r="F66" s="12">
        <v>0.04</v>
      </c>
      <c r="G66" s="5">
        <f t="shared" si="1"/>
        <v>-97.401599999999988</v>
      </c>
    </row>
    <row r="67" spans="1:7" s="8" customFormat="1" x14ac:dyDescent="0.3">
      <c r="A67" s="7">
        <v>221275</v>
      </c>
      <c r="B67" s="11" t="s">
        <v>99</v>
      </c>
      <c r="C67" s="11" t="s">
        <v>98</v>
      </c>
      <c r="D67" s="7">
        <v>2</v>
      </c>
      <c r="E67" s="3">
        <v>49.34</v>
      </c>
      <c r="F67" s="12">
        <v>0.04</v>
      </c>
      <c r="G67" s="5">
        <f t="shared" si="1"/>
        <v>-47.366400000000006</v>
      </c>
    </row>
    <row r="68" spans="1:7" s="8" customFormat="1" x14ac:dyDescent="0.3">
      <c r="A68" s="7">
        <v>221684</v>
      </c>
      <c r="B68" s="11" t="s">
        <v>100</v>
      </c>
      <c r="C68" s="11" t="s">
        <v>40</v>
      </c>
      <c r="D68" s="7">
        <v>2</v>
      </c>
      <c r="E68" s="3"/>
      <c r="F68" s="12">
        <v>0.107</v>
      </c>
      <c r="G68" s="5">
        <f t="shared" si="1"/>
        <v>0</v>
      </c>
    </row>
    <row r="69" spans="1:7" s="8" customFormat="1" x14ac:dyDescent="0.3">
      <c r="A69" s="7">
        <v>221685</v>
      </c>
      <c r="B69" s="11" t="s">
        <v>101</v>
      </c>
      <c r="C69" s="11" t="s">
        <v>102</v>
      </c>
      <c r="D69" s="7">
        <v>2</v>
      </c>
      <c r="E69" s="3">
        <v>109.03</v>
      </c>
      <c r="F69" s="12">
        <v>0.04</v>
      </c>
      <c r="G69" s="5">
        <f t="shared" si="1"/>
        <v>-104.6688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7187-9E61-48C4-AFD1-AE3EB01DC33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2026-09-08T18:20:54Z</dcterms:created>
  <dcterms:modified xsi:type="dcterms:W3CDTF">2026-09-15T16:13:47Z</dcterms:modified>
</cp:coreProperties>
</file>